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6acba133584344e/Documents/DVetMed Research Project/JVIM Writeup/Publication Submission/EL KBB and Seb Post Revision Meeting Version/"/>
    </mc:Choice>
  </mc:AlternateContent>
  <xr:revisionPtr revIDLastSave="0" documentId="8_{C4CE1637-9A61-4DDA-86CA-86246C759DB2}" xr6:coauthVersionLast="47" xr6:coauthVersionMax="47" xr10:uidLastSave="{00000000-0000-0000-0000-000000000000}"/>
  <bookViews>
    <workbookView xWindow="-98" yWindow="-98" windowWidth="21795" windowHeight="13875" tabRatio="816" xr2:uid="{00000000-000D-0000-FFFF-FFFF00000000}"/>
  </bookViews>
  <sheets>
    <sheet name="Overview" sheetId="1" r:id="rId1"/>
    <sheet name="Statistic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6" i="1" l="1"/>
  <c r="W66" i="1"/>
  <c r="X66" i="1"/>
  <c r="Y66" i="1"/>
  <c r="Z66" i="1"/>
  <c r="V66" i="1"/>
  <c r="V65" i="1"/>
  <c r="V81" i="1"/>
  <c r="V51" i="1"/>
  <c r="N52" i="1"/>
  <c r="V95" i="1"/>
  <c r="N95" i="1"/>
  <c r="S95" i="1"/>
  <c r="AA94" i="1"/>
  <c r="AA83" i="1"/>
  <c r="AA84" i="1"/>
  <c r="AA85" i="1"/>
  <c r="AA86" i="1"/>
  <c r="AA87" i="1"/>
  <c r="AA88" i="1"/>
  <c r="AA89" i="1"/>
  <c r="AA90" i="1"/>
  <c r="AA91" i="1"/>
  <c r="AA92" i="1"/>
  <c r="AA93" i="1"/>
  <c r="AA95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N51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S96" i="1" l="1"/>
  <c r="AI96" i="1" s="1"/>
  <c r="AY96" i="1" s="1"/>
  <c r="N96" i="1"/>
  <c r="AD93" i="1" s="1"/>
  <c r="AT93" i="1" s="1"/>
  <c r="AQ87" i="1"/>
  <c r="BG87" i="1" s="1"/>
  <c r="AA96" i="1"/>
  <c r="AQ93" i="1" s="1"/>
  <c r="BG93" i="1" s="1"/>
  <c r="AD61" i="1"/>
  <c r="AT61" i="1" s="1"/>
  <c r="AQ53" i="1"/>
  <c r="BG53" i="1" s="1"/>
  <c r="AQ69" i="1"/>
  <c r="BG69" i="1" s="1"/>
  <c r="AQ86" i="1"/>
  <c r="BG86" i="1" s="1"/>
  <c r="AD85" i="1"/>
  <c r="AT85" i="1" s="1"/>
  <c r="AQ77" i="1"/>
  <c r="BG77" i="1" s="1"/>
  <c r="AQ51" i="1"/>
  <c r="BG51" i="1" s="1"/>
  <c r="AQ64" i="1"/>
  <c r="BG64" i="1" s="1"/>
  <c r="AQ56" i="1"/>
  <c r="BG56" i="1" s="1"/>
  <c r="AQ79" i="1"/>
  <c r="BG79" i="1" s="1"/>
  <c r="AQ71" i="1"/>
  <c r="BG71" i="1" s="1"/>
  <c r="AQ63" i="1"/>
  <c r="BG63" i="1" s="1"/>
  <c r="AQ55" i="1"/>
  <c r="BG55" i="1" s="1"/>
  <c r="AQ89" i="1"/>
  <c r="BG89" i="1" s="1"/>
  <c r="AQ85" i="1"/>
  <c r="BG85" i="1" s="1"/>
  <c r="AQ65" i="1"/>
  <c r="BG65" i="1" s="1"/>
  <c r="AQ94" i="1"/>
  <c r="BG94" i="1" s="1"/>
  <c r="AQ73" i="1"/>
  <c r="BG73" i="1" s="1"/>
  <c r="AQ66" i="1"/>
  <c r="BG66" i="1" s="1"/>
  <c r="AQ59" i="1"/>
  <c r="BG59" i="1" s="1"/>
  <c r="AQ52" i="1"/>
  <c r="BG52" i="1" s="1"/>
  <c r="AQ92" i="1"/>
  <c r="BG92" i="1" s="1"/>
  <c r="AQ96" i="1"/>
  <c r="BG96" i="1" s="1"/>
  <c r="AQ58" i="1"/>
  <c r="BG58" i="1" s="1"/>
  <c r="AQ90" i="1"/>
  <c r="BG90" i="1" s="1"/>
  <c r="AQ57" i="1"/>
  <c r="BG57" i="1" s="1"/>
  <c r="AQ81" i="1"/>
  <c r="BG81" i="1" s="1"/>
  <c r="AQ82" i="1"/>
  <c r="BG82" i="1" s="1"/>
  <c r="AQ91" i="1"/>
  <c r="BG91" i="1" s="1"/>
  <c r="AQ60" i="1"/>
  <c r="BG60" i="1" s="1"/>
  <c r="AQ84" i="1"/>
  <c r="BG84" i="1" s="1"/>
  <c r="AQ95" i="1"/>
  <c r="BG95" i="1" s="1"/>
  <c r="AQ83" i="1"/>
  <c r="BG83" i="1" s="1"/>
  <c r="AQ78" i="1"/>
  <c r="BG78" i="1" s="1"/>
  <c r="AQ70" i="1"/>
  <c r="BG70" i="1" s="1"/>
  <c r="AQ88" i="1"/>
  <c r="BG88" i="1" s="1"/>
  <c r="AF94" i="1"/>
  <c r="AV94" i="1" s="1"/>
  <c r="O96" i="1"/>
  <c r="AE62" i="1" s="1"/>
  <c r="AU62" i="1" s="1"/>
  <c r="AF74" i="1"/>
  <c r="AV74" i="1" s="1"/>
  <c r="AH60" i="1"/>
  <c r="AX60" i="1" s="1"/>
  <c r="AI68" i="1"/>
  <c r="AY68" i="1" s="1"/>
  <c r="AD95" i="1"/>
  <c r="AT95" i="1" s="1"/>
  <c r="AD88" i="1"/>
  <c r="AT88" i="1" s="1"/>
  <c r="AD84" i="1"/>
  <c r="AT84" i="1" s="1"/>
  <c r="AD80" i="1"/>
  <c r="AT80" i="1" s="1"/>
  <c r="AD76" i="1"/>
  <c r="AT76" i="1" s="1"/>
  <c r="AD72" i="1"/>
  <c r="AT72" i="1" s="1"/>
  <c r="AD68" i="1"/>
  <c r="AT68" i="1" s="1"/>
  <c r="AD64" i="1"/>
  <c r="AT64" i="1" s="1"/>
  <c r="AD60" i="1"/>
  <c r="AT60" i="1" s="1"/>
  <c r="AD56" i="1"/>
  <c r="AT56" i="1" s="1"/>
  <c r="AD51" i="1"/>
  <c r="AT51" i="1" s="1"/>
  <c r="AF77" i="1"/>
  <c r="AV77" i="1" s="1"/>
  <c r="AF61" i="1"/>
  <c r="AV61" i="1" s="1"/>
  <c r="AG74" i="1"/>
  <c r="AW74" i="1" s="1"/>
  <c r="AH83" i="1"/>
  <c r="AX83" i="1" s="1"/>
  <c r="AH67" i="1"/>
  <c r="AX67" i="1" s="1"/>
  <c r="AH51" i="1"/>
  <c r="AX51" i="1" s="1"/>
  <c r="AI79" i="1"/>
  <c r="AY79" i="1" s="1"/>
  <c r="P96" i="1"/>
  <c r="AF96" i="1" s="1"/>
  <c r="AV96" i="1" s="1"/>
  <c r="AF90" i="1"/>
  <c r="AV90" i="1" s="1"/>
  <c r="AF78" i="1"/>
  <c r="AV78" i="1" s="1"/>
  <c r="AF66" i="1"/>
  <c r="AV66" i="1" s="1"/>
  <c r="AH92" i="1"/>
  <c r="AX92" i="1" s="1"/>
  <c r="AI92" i="1"/>
  <c r="AY92" i="1" s="1"/>
  <c r="AI56" i="1"/>
  <c r="AY56" i="1" s="1"/>
  <c r="W96" i="1"/>
  <c r="AM52" i="1" s="1"/>
  <c r="BC52" i="1" s="1"/>
  <c r="AM73" i="1"/>
  <c r="BC73" i="1" s="1"/>
  <c r="AD91" i="1"/>
  <c r="AT91" i="1" s="1"/>
  <c r="AD87" i="1"/>
  <c r="AT87" i="1" s="1"/>
  <c r="AD83" i="1"/>
  <c r="AT83" i="1" s="1"/>
  <c r="AD79" i="1"/>
  <c r="AT79" i="1" s="1"/>
  <c r="AD75" i="1"/>
  <c r="AT75" i="1" s="1"/>
  <c r="AD71" i="1"/>
  <c r="AT71" i="1" s="1"/>
  <c r="AD67" i="1"/>
  <c r="AT67" i="1" s="1"/>
  <c r="AD63" i="1"/>
  <c r="AT63" i="1" s="1"/>
  <c r="AD59" i="1"/>
  <c r="AT59" i="1" s="1"/>
  <c r="AF92" i="1"/>
  <c r="AV92" i="1" s="1"/>
  <c r="AF88" i="1"/>
  <c r="AV88" i="1" s="1"/>
  <c r="AF84" i="1"/>
  <c r="AV84" i="1" s="1"/>
  <c r="AF80" i="1"/>
  <c r="AV80" i="1" s="1"/>
  <c r="AF76" i="1"/>
  <c r="AV76" i="1" s="1"/>
  <c r="AF72" i="1"/>
  <c r="AV72" i="1" s="1"/>
  <c r="AF68" i="1"/>
  <c r="AV68" i="1" s="1"/>
  <c r="AF64" i="1"/>
  <c r="AV64" i="1" s="1"/>
  <c r="AF52" i="1"/>
  <c r="AV52" i="1" s="1"/>
  <c r="Q96" i="1"/>
  <c r="AG96" i="1" s="1"/>
  <c r="AW96" i="1" s="1"/>
  <c r="AG77" i="1"/>
  <c r="AW77" i="1" s="1"/>
  <c r="AG57" i="1"/>
  <c r="AW57" i="1" s="1"/>
  <c r="AH86" i="1"/>
  <c r="AX86" i="1" s="1"/>
  <c r="V96" i="1"/>
  <c r="AL55" i="1" s="1"/>
  <c r="BB55" i="1" s="1"/>
  <c r="AE57" i="1"/>
  <c r="AU57" i="1" s="1"/>
  <c r="AF82" i="1"/>
  <c r="AV82" i="1" s="1"/>
  <c r="AF58" i="1"/>
  <c r="AV58" i="1" s="1"/>
  <c r="AG51" i="1"/>
  <c r="AW51" i="1" s="1"/>
  <c r="AH64" i="1"/>
  <c r="AX64" i="1" s="1"/>
  <c r="AD94" i="1"/>
  <c r="AT94" i="1" s="1"/>
  <c r="AD90" i="1"/>
  <c r="AT90" i="1" s="1"/>
  <c r="AD86" i="1"/>
  <c r="AT86" i="1" s="1"/>
  <c r="AD82" i="1"/>
  <c r="AT82" i="1" s="1"/>
  <c r="AD78" i="1"/>
  <c r="AT78" i="1" s="1"/>
  <c r="AD74" i="1"/>
  <c r="AT74" i="1" s="1"/>
  <c r="AD70" i="1"/>
  <c r="AT70" i="1" s="1"/>
  <c r="AD66" i="1"/>
  <c r="AT66" i="1" s="1"/>
  <c r="AD62" i="1"/>
  <c r="AT62" i="1" s="1"/>
  <c r="AD58" i="1"/>
  <c r="AT58" i="1" s="1"/>
  <c r="AF91" i="1"/>
  <c r="AV91" i="1" s="1"/>
  <c r="AF87" i="1"/>
  <c r="AV87" i="1" s="1"/>
  <c r="AF83" i="1"/>
  <c r="AV83" i="1" s="1"/>
  <c r="AF79" i="1"/>
  <c r="AV79" i="1" s="1"/>
  <c r="AF75" i="1"/>
  <c r="AV75" i="1" s="1"/>
  <c r="AF71" i="1"/>
  <c r="AV71" i="1" s="1"/>
  <c r="AF67" i="1"/>
  <c r="AV67" i="1" s="1"/>
  <c r="AF63" i="1"/>
  <c r="AV63" i="1" s="1"/>
  <c r="AF59" i="1"/>
  <c r="AV59" i="1" s="1"/>
  <c r="AF55" i="1"/>
  <c r="AV55" i="1" s="1"/>
  <c r="AG76" i="1"/>
  <c r="AW76" i="1" s="1"/>
  <c r="AG72" i="1"/>
  <c r="AW72" i="1" s="1"/>
  <c r="AG56" i="1"/>
  <c r="AW56" i="1" s="1"/>
  <c r="AG52" i="1"/>
  <c r="AW52" i="1" s="1"/>
  <c r="R96" i="1"/>
  <c r="AH91" i="1" s="1"/>
  <c r="AX91" i="1" s="1"/>
  <c r="AH77" i="1"/>
  <c r="AX77" i="1" s="1"/>
  <c r="AH73" i="1"/>
  <c r="AX73" i="1" s="1"/>
  <c r="AM76" i="1"/>
  <c r="BC76" i="1" s="1"/>
  <c r="AO65" i="1"/>
  <c r="BE65" i="1" s="1"/>
  <c r="AM91" i="1"/>
  <c r="BC91" i="1" s="1"/>
  <c r="AH66" i="1"/>
  <c r="AX66" i="1" s="1"/>
  <c r="AH62" i="1"/>
  <c r="AX62" i="1" s="1"/>
  <c r="AI86" i="1"/>
  <c r="AY86" i="1" s="1"/>
  <c r="AI82" i="1"/>
  <c r="AY82" i="1" s="1"/>
  <c r="AI66" i="1"/>
  <c r="AY66" i="1" s="1"/>
  <c r="AI58" i="1"/>
  <c r="AY58" i="1" s="1"/>
  <c r="AL76" i="1"/>
  <c r="BB76" i="1" s="1"/>
  <c r="AM71" i="1"/>
  <c r="BC71" i="1" s="1"/>
  <c r="AM67" i="1"/>
  <c r="BC67" i="1" s="1"/>
  <c r="X96" i="1"/>
  <c r="AN82" i="1" s="1"/>
  <c r="BD82" i="1" s="1"/>
  <c r="Z96" i="1"/>
  <c r="AP83" i="1" s="1"/>
  <c r="BF83" i="1" s="1"/>
  <c r="AH69" i="1"/>
  <c r="AX69" i="1" s="1"/>
  <c r="AH65" i="1"/>
  <c r="AX65" i="1" s="1"/>
  <c r="AH61" i="1"/>
  <c r="AX61" i="1" s="1"/>
  <c r="AH57" i="1"/>
  <c r="AX57" i="1" s="1"/>
  <c r="AI77" i="1"/>
  <c r="AY77" i="1" s="1"/>
  <c r="AI69" i="1"/>
  <c r="AY69" i="1" s="1"/>
  <c r="AI53" i="1"/>
  <c r="AY53" i="1" s="1"/>
  <c r="AM70" i="1"/>
  <c r="BC70" i="1" s="1"/>
  <c r="AN52" i="1"/>
  <c r="BD52" i="1" s="1"/>
  <c r="AO79" i="1"/>
  <c r="BE79" i="1" s="1"/>
  <c r="AI52" i="1"/>
  <c r="AY52" i="1" s="1"/>
  <c r="Y96" i="1"/>
  <c r="AO70" i="1" s="1"/>
  <c r="BE70" i="1" s="1"/>
  <c r="AD89" i="1" l="1"/>
  <c r="AT89" i="1" s="1"/>
  <c r="AL65" i="1"/>
  <c r="BB65" i="1" s="1"/>
  <c r="AD73" i="1"/>
  <c r="AT73" i="1" s="1"/>
  <c r="AD81" i="1"/>
  <c r="AT81" i="1" s="1"/>
  <c r="AT102" i="1" s="1"/>
  <c r="AM77" i="1"/>
  <c r="BC77" i="1" s="1"/>
  <c r="AN56" i="1"/>
  <c r="BD56" i="1" s="1"/>
  <c r="AM75" i="1"/>
  <c r="BC75" i="1" s="1"/>
  <c r="AN54" i="1"/>
  <c r="BD54" i="1" s="1"/>
  <c r="AG60" i="1"/>
  <c r="AW60" i="1" s="1"/>
  <c r="AG75" i="1"/>
  <c r="AW75" i="1" s="1"/>
  <c r="AG61" i="1"/>
  <c r="AW61" i="1" s="1"/>
  <c r="AM62" i="1"/>
  <c r="BC62" i="1" s="1"/>
  <c r="AN58" i="1"/>
  <c r="BD58" i="1" s="1"/>
  <c r="AG64" i="1"/>
  <c r="AW64" i="1" s="1"/>
  <c r="AG91" i="1"/>
  <c r="AW91" i="1" s="1"/>
  <c r="AG65" i="1"/>
  <c r="AW65" i="1" s="1"/>
  <c r="AM66" i="1"/>
  <c r="BC66" i="1" s="1"/>
  <c r="AM72" i="1"/>
  <c r="BC72" i="1" s="1"/>
  <c r="AG68" i="1"/>
  <c r="AW68" i="1" s="1"/>
  <c r="AG73" i="1"/>
  <c r="AW73" i="1" s="1"/>
  <c r="AG58" i="1"/>
  <c r="AW58" i="1" s="1"/>
  <c r="AG55" i="1"/>
  <c r="AW55" i="1" s="1"/>
  <c r="AD96" i="1"/>
  <c r="AT96" i="1" s="1"/>
  <c r="AD65" i="1"/>
  <c r="AT65" i="1" s="1"/>
  <c r="AD57" i="1"/>
  <c r="AT57" i="1" s="1"/>
  <c r="AM82" i="1"/>
  <c r="BC82" i="1" s="1"/>
  <c r="AG90" i="1"/>
  <c r="AW90" i="1" s="1"/>
  <c r="AM86" i="1"/>
  <c r="BC86" i="1" s="1"/>
  <c r="AG80" i="1"/>
  <c r="AW80" i="1" s="1"/>
  <c r="AG85" i="1"/>
  <c r="AW85" i="1" s="1"/>
  <c r="AD77" i="1"/>
  <c r="AT77" i="1" s="1"/>
  <c r="AT101" i="1" s="1"/>
  <c r="AV101" i="1"/>
  <c r="AM78" i="1"/>
  <c r="BC78" i="1" s="1"/>
  <c r="AN87" i="1"/>
  <c r="BD87" i="1" s="1"/>
  <c r="AG83" i="1"/>
  <c r="AW83" i="1" s="1"/>
  <c r="AO86" i="1"/>
  <c r="BE86" i="1" s="1"/>
  <c r="AM94" i="1"/>
  <c r="BC94" i="1" s="1"/>
  <c r="AG84" i="1"/>
  <c r="AW84" i="1" s="1"/>
  <c r="AG89" i="1"/>
  <c r="AW89" i="1" s="1"/>
  <c r="AE63" i="1"/>
  <c r="AU63" i="1" s="1"/>
  <c r="AE73" i="1"/>
  <c r="AU73" i="1" s="1"/>
  <c r="AN83" i="1"/>
  <c r="BD83" i="1" s="1"/>
  <c r="AO72" i="1"/>
  <c r="BE72" i="1" s="1"/>
  <c r="AG88" i="1"/>
  <c r="AW88" i="1" s="1"/>
  <c r="AD92" i="1"/>
  <c r="AT92" i="1" s="1"/>
  <c r="AD69" i="1"/>
  <c r="AT69" i="1" s="1"/>
  <c r="AN65" i="1"/>
  <c r="BD65" i="1" s="1"/>
  <c r="AE79" i="1"/>
  <c r="AU79" i="1" s="1"/>
  <c r="AM84" i="1"/>
  <c r="BC84" i="1" s="1"/>
  <c r="AF93" i="1"/>
  <c r="AV93" i="1" s="1"/>
  <c r="AQ76" i="1"/>
  <c r="BG76" i="1" s="1"/>
  <c r="AQ72" i="1"/>
  <c r="BG72" i="1" s="1"/>
  <c r="AQ61" i="1"/>
  <c r="BG61" i="1" s="1"/>
  <c r="AN91" i="1"/>
  <c r="BD91" i="1" s="1"/>
  <c r="AI93" i="1"/>
  <c r="AY93" i="1" s="1"/>
  <c r="AN57" i="1"/>
  <c r="BD57" i="1" s="1"/>
  <c r="AH74" i="1"/>
  <c r="AX74" i="1" s="1"/>
  <c r="AH85" i="1"/>
  <c r="AX85" i="1" s="1"/>
  <c r="AG92" i="1"/>
  <c r="AW92" i="1" s="1"/>
  <c r="AF95" i="1"/>
  <c r="AV95" i="1" s="1"/>
  <c r="AM92" i="1"/>
  <c r="BC92" i="1" s="1"/>
  <c r="AM63" i="1"/>
  <c r="BC63" i="1" s="1"/>
  <c r="AF56" i="1"/>
  <c r="AV56" i="1" s="1"/>
  <c r="AE95" i="1"/>
  <c r="AU95" i="1" s="1"/>
  <c r="AP53" i="1"/>
  <c r="BF53" i="1" s="1"/>
  <c r="AM80" i="1"/>
  <c r="BC80" i="1" s="1"/>
  <c r="AE64" i="1"/>
  <c r="AU64" i="1" s="1"/>
  <c r="AQ54" i="1"/>
  <c r="BG54" i="1" s="1"/>
  <c r="BG100" i="1" s="1"/>
  <c r="AQ68" i="1"/>
  <c r="BG68" i="1" s="1"/>
  <c r="AQ75" i="1"/>
  <c r="BG75" i="1" s="1"/>
  <c r="AQ80" i="1"/>
  <c r="BG80" i="1" s="1"/>
  <c r="AL66" i="1"/>
  <c r="BB66" i="1" s="1"/>
  <c r="AL90" i="1"/>
  <c r="BB90" i="1" s="1"/>
  <c r="AH53" i="1"/>
  <c r="AX53" i="1" s="1"/>
  <c r="AN61" i="1"/>
  <c r="BD61" i="1" s="1"/>
  <c r="AM87" i="1"/>
  <c r="BC87" i="1" s="1"/>
  <c r="AH89" i="1"/>
  <c r="AX89" i="1" s="1"/>
  <c r="AF51" i="1"/>
  <c r="AV51" i="1" s="1"/>
  <c r="AD54" i="1"/>
  <c r="AT54" i="1" s="1"/>
  <c r="AM69" i="1"/>
  <c r="BC69" i="1" s="1"/>
  <c r="AI78" i="1"/>
  <c r="AY78" i="1" s="1"/>
  <c r="AF60" i="1"/>
  <c r="AV60" i="1" s="1"/>
  <c r="AD55" i="1"/>
  <c r="AT55" i="1" s="1"/>
  <c r="AM65" i="1"/>
  <c r="BC65" i="1" s="1"/>
  <c r="AI63" i="1"/>
  <c r="AY63" i="1" s="1"/>
  <c r="AE80" i="1"/>
  <c r="AU80" i="1" s="1"/>
  <c r="AD52" i="1"/>
  <c r="AT52" i="1" s="1"/>
  <c r="AT100" i="1" s="1"/>
  <c r="AQ62" i="1"/>
  <c r="BG62" i="1" s="1"/>
  <c r="AQ67" i="1"/>
  <c r="BG67" i="1" s="1"/>
  <c r="BG101" i="1" s="1"/>
  <c r="AQ74" i="1"/>
  <c r="BG74" i="1" s="1"/>
  <c r="AD53" i="1"/>
  <c r="AT53" i="1" s="1"/>
  <c r="AP92" i="1"/>
  <c r="BF92" i="1" s="1"/>
  <c r="AL86" i="1"/>
  <c r="BB86" i="1" s="1"/>
  <c r="AL79" i="1"/>
  <c r="BB79" i="1" s="1"/>
  <c r="AL72" i="1"/>
  <c r="BB72" i="1" s="1"/>
  <c r="AL71" i="1"/>
  <c r="BB71" i="1" s="1"/>
  <c r="AN94" i="1"/>
  <c r="BD94" i="1" s="1"/>
  <c r="AL95" i="1"/>
  <c r="BB95" i="1" s="1"/>
  <c r="AL88" i="1"/>
  <c r="BB88" i="1" s="1"/>
  <c r="AP58" i="1"/>
  <c r="BF58" i="1" s="1"/>
  <c r="AN64" i="1"/>
  <c r="BD64" i="1" s="1"/>
  <c r="AN69" i="1"/>
  <c r="BD69" i="1" s="1"/>
  <c r="AN70" i="1"/>
  <c r="BD70" i="1" s="1"/>
  <c r="AN95" i="1"/>
  <c r="BD95" i="1" s="1"/>
  <c r="AL59" i="1"/>
  <c r="BB59" i="1" s="1"/>
  <c r="AP85" i="1"/>
  <c r="BF85" i="1" s="1"/>
  <c r="AL56" i="1"/>
  <c r="BB56" i="1" s="1"/>
  <c r="AN74" i="1"/>
  <c r="BD74" i="1" s="1"/>
  <c r="AN67" i="1"/>
  <c r="BD67" i="1" s="1"/>
  <c r="BG102" i="1"/>
  <c r="AP66" i="1"/>
  <c r="BF66" i="1" s="1"/>
  <c r="AN72" i="1"/>
  <c r="BD72" i="1" s="1"/>
  <c r="AL63" i="1"/>
  <c r="BB63" i="1" s="1"/>
  <c r="AP89" i="1"/>
  <c r="BF89" i="1" s="1"/>
  <c r="AP55" i="1"/>
  <c r="BF55" i="1" s="1"/>
  <c r="AM51" i="1"/>
  <c r="BC51" i="1" s="1"/>
  <c r="AL60" i="1"/>
  <c r="BB60" i="1" s="1"/>
  <c r="AO92" i="1"/>
  <c r="BE92" i="1" s="1"/>
  <c r="AP64" i="1"/>
  <c r="BF64" i="1" s="1"/>
  <c r="AM56" i="1"/>
  <c r="BC56" i="1" s="1"/>
  <c r="AM58" i="1"/>
  <c r="BC58" i="1" s="1"/>
  <c r="AM53" i="1"/>
  <c r="BC53" i="1" s="1"/>
  <c r="AL54" i="1"/>
  <c r="BB54" i="1" s="1"/>
  <c r="AP95" i="1"/>
  <c r="BF95" i="1" s="1"/>
  <c r="AL61" i="1"/>
  <c r="BB61" i="1" s="1"/>
  <c r="AL94" i="1"/>
  <c r="BB94" i="1" s="1"/>
  <c r="AL80" i="1"/>
  <c r="BB80" i="1" s="1"/>
  <c r="AP73" i="1"/>
  <c r="BF73" i="1" s="1"/>
  <c r="AL77" i="1"/>
  <c r="BB77" i="1" s="1"/>
  <c r="AL52" i="1"/>
  <c r="BB52" i="1" s="1"/>
  <c r="AL92" i="1"/>
  <c r="BB92" i="1" s="1"/>
  <c r="AN51" i="1"/>
  <c r="BD51" i="1" s="1"/>
  <c r="AP62" i="1"/>
  <c r="BF62" i="1" s="1"/>
  <c r="AN77" i="1"/>
  <c r="BD77" i="1" s="1"/>
  <c r="AP90" i="1"/>
  <c r="AN76" i="1"/>
  <c r="BD76" i="1" s="1"/>
  <c r="AM79" i="1"/>
  <c r="BC79" i="1" s="1"/>
  <c r="AN80" i="1"/>
  <c r="BD80" i="1" s="1"/>
  <c r="AM55" i="1"/>
  <c r="BC55" i="1" s="1"/>
  <c r="AL64" i="1"/>
  <c r="BB64" i="1" s="1"/>
  <c r="AN85" i="1"/>
  <c r="BD85" i="1" s="1"/>
  <c r="AP76" i="1"/>
  <c r="BF76" i="1" s="1"/>
  <c r="AM60" i="1"/>
  <c r="BC60" i="1" s="1"/>
  <c r="AM74" i="1"/>
  <c r="BC74" i="1" s="1"/>
  <c r="AM57" i="1"/>
  <c r="BC57" i="1" s="1"/>
  <c r="AO84" i="1"/>
  <c r="BE84" i="1" s="1"/>
  <c r="AM88" i="1"/>
  <c r="BC88" i="1" s="1"/>
  <c r="AN71" i="1"/>
  <c r="BD71" i="1" s="1"/>
  <c r="AL83" i="1"/>
  <c r="BB83" i="1" s="1"/>
  <c r="AP82" i="1"/>
  <c r="BF82" i="1" s="1"/>
  <c r="AL82" i="1"/>
  <c r="BB82" i="1" s="1"/>
  <c r="AN68" i="1"/>
  <c r="BD68" i="1" s="1"/>
  <c r="AL91" i="1"/>
  <c r="BB91" i="1" s="1"/>
  <c r="AP60" i="1"/>
  <c r="BF60" i="1" s="1"/>
  <c r="AM85" i="1"/>
  <c r="BC85" i="1" s="1"/>
  <c r="AP84" i="1"/>
  <c r="BF84" i="1" s="1"/>
  <c r="AM89" i="1"/>
  <c r="BC89" i="1" s="1"/>
  <c r="AP78" i="1"/>
  <c r="BF78" i="1" s="1"/>
  <c r="AL67" i="1"/>
  <c r="BB67" i="1" s="1"/>
  <c r="AO87" i="1"/>
  <c r="BE87" i="1" s="1"/>
  <c r="AP63" i="1"/>
  <c r="BF63" i="1" s="1"/>
  <c r="AP88" i="1"/>
  <c r="BF88" i="1" s="1"/>
  <c r="AM93" i="1"/>
  <c r="BC93" i="1" s="1"/>
  <c r="AO63" i="1"/>
  <c r="BE63" i="1" s="1"/>
  <c r="AM54" i="1"/>
  <c r="BC54" i="1" s="1"/>
  <c r="AL75" i="1"/>
  <c r="BB75" i="1" s="1"/>
  <c r="AN88" i="1"/>
  <c r="BD88" i="1" s="1"/>
  <c r="AP79" i="1"/>
  <c r="BF79" i="1" s="1"/>
  <c r="AM59" i="1"/>
  <c r="BC59" i="1" s="1"/>
  <c r="AL68" i="1"/>
  <c r="BB68" i="1" s="1"/>
  <c r="AM83" i="1"/>
  <c r="BC83" i="1" s="1"/>
  <c r="AP80" i="1"/>
  <c r="BF80" i="1" s="1"/>
  <c r="AM64" i="1"/>
  <c r="BC64" i="1" s="1"/>
  <c r="AM61" i="1"/>
  <c r="BC61" i="1" s="1"/>
  <c r="AN86" i="1"/>
  <c r="BD86" i="1" s="1"/>
  <c r="AP77" i="1"/>
  <c r="BF77" i="1" s="1"/>
  <c r="AO67" i="1"/>
  <c r="BE67" i="1" s="1"/>
  <c r="AO54" i="1"/>
  <c r="BE54" i="1" s="1"/>
  <c r="AN55" i="1"/>
  <c r="BD55" i="1" s="1"/>
  <c r="AN75" i="1"/>
  <c r="BD75" i="1" s="1"/>
  <c r="AH84" i="1"/>
  <c r="AX84" i="1" s="1"/>
  <c r="AE69" i="1"/>
  <c r="AU69" i="1" s="1"/>
  <c r="AL96" i="1"/>
  <c r="BB96" i="1" s="1"/>
  <c r="AL87" i="1"/>
  <c r="BB87" i="1" s="1"/>
  <c r="AH54" i="1"/>
  <c r="AX54" i="1" s="1"/>
  <c r="AH90" i="1"/>
  <c r="AE67" i="1"/>
  <c r="AU67" i="1" s="1"/>
  <c r="AE83" i="1"/>
  <c r="AU83" i="1" s="1"/>
  <c r="AP69" i="1"/>
  <c r="BF69" i="1" s="1"/>
  <c r="AL62" i="1"/>
  <c r="BB62" i="1" s="1"/>
  <c r="AI64" i="1"/>
  <c r="AY64" i="1" s="1"/>
  <c r="AH56" i="1"/>
  <c r="AX56" i="1" s="1"/>
  <c r="AG59" i="1"/>
  <c r="AW59" i="1" s="1"/>
  <c r="AE85" i="1"/>
  <c r="AU85" i="1" s="1"/>
  <c r="AN81" i="1"/>
  <c r="BD81" i="1" s="1"/>
  <c r="AI51" i="1"/>
  <c r="AY51" i="1" s="1"/>
  <c r="AI67" i="1"/>
  <c r="AY67" i="1" s="1"/>
  <c r="AI83" i="1"/>
  <c r="AY83" i="1" s="1"/>
  <c r="AH55" i="1"/>
  <c r="AX55" i="1" s="1"/>
  <c r="AH71" i="1"/>
  <c r="AX71" i="1" s="1"/>
  <c r="AH87" i="1"/>
  <c r="AX87" i="1" s="1"/>
  <c r="AG62" i="1"/>
  <c r="AW62" i="1" s="1"/>
  <c r="AG78" i="1"/>
  <c r="AW78" i="1" s="1"/>
  <c r="AG94" i="1"/>
  <c r="AW94" i="1" s="1"/>
  <c r="AF65" i="1"/>
  <c r="AV65" i="1" s="1"/>
  <c r="AF81" i="1"/>
  <c r="AV81" i="1" s="1"/>
  <c r="AV102" i="1" s="1"/>
  <c r="AE52" i="1"/>
  <c r="AU52" i="1" s="1"/>
  <c r="AE68" i="1"/>
  <c r="AU68" i="1" s="1"/>
  <c r="AE84" i="1"/>
  <c r="AU84" i="1" s="1"/>
  <c r="AO89" i="1"/>
  <c r="BE89" i="1" s="1"/>
  <c r="AL85" i="1"/>
  <c r="BB85" i="1" s="1"/>
  <c r="AO58" i="1"/>
  <c r="BE58" i="1" s="1"/>
  <c r="AL58" i="1"/>
  <c r="BB58" i="1" s="1"/>
  <c r="AI76" i="1"/>
  <c r="AY76" i="1" s="1"/>
  <c r="AH72" i="1"/>
  <c r="AX72" i="1" s="1"/>
  <c r="AG79" i="1"/>
  <c r="AW79" i="1" s="1"/>
  <c r="AE53" i="1"/>
  <c r="AU53" i="1" s="1"/>
  <c r="AE89" i="1"/>
  <c r="AU89" i="1" s="1"/>
  <c r="AF54" i="1"/>
  <c r="AV54" i="1" s="1"/>
  <c r="AE96" i="1"/>
  <c r="AU96" i="1" s="1"/>
  <c r="AE66" i="1"/>
  <c r="AU66" i="1" s="1"/>
  <c r="AE82" i="1"/>
  <c r="AU82" i="1" s="1"/>
  <c r="AO90" i="1"/>
  <c r="BE90" i="1" s="1"/>
  <c r="AO91" i="1"/>
  <c r="BE91" i="1" s="1"/>
  <c r="AO76" i="1"/>
  <c r="BE76" i="1" s="1"/>
  <c r="AO69" i="1"/>
  <c r="BE69" i="1" s="1"/>
  <c r="AO55" i="1"/>
  <c r="BE55" i="1" s="1"/>
  <c r="AI81" i="1"/>
  <c r="AY81" i="1" s="1"/>
  <c r="AP96" i="1"/>
  <c r="BF96" i="1" s="1"/>
  <c r="AP75" i="1"/>
  <c r="BF75" i="1" s="1"/>
  <c r="AP93" i="1"/>
  <c r="BF93" i="1" s="1"/>
  <c r="AO95" i="1"/>
  <c r="BE95" i="1" s="1"/>
  <c r="AP67" i="1"/>
  <c r="BF67" i="1" s="1"/>
  <c r="AO60" i="1"/>
  <c r="BE60" i="1" s="1"/>
  <c r="AO80" i="1"/>
  <c r="BE80" i="1" s="1"/>
  <c r="AI70" i="1"/>
  <c r="AY70" i="1" s="1"/>
  <c r="AY101" i="1" s="1"/>
  <c r="AI90" i="1"/>
  <c r="AY90" i="1" s="1"/>
  <c r="AP94" i="1"/>
  <c r="BF94" i="1" s="1"/>
  <c r="AN89" i="1"/>
  <c r="BD89" i="1" s="1"/>
  <c r="AP52" i="1"/>
  <c r="BF52" i="1" s="1"/>
  <c r="AP68" i="1"/>
  <c r="BF68" i="1" s="1"/>
  <c r="AO53" i="1"/>
  <c r="BE53" i="1" s="1"/>
  <c r="AO77" i="1"/>
  <c r="BE77" i="1" s="1"/>
  <c r="AN62" i="1"/>
  <c r="BD62" i="1" s="1"/>
  <c r="AN78" i="1"/>
  <c r="BD78" i="1" s="1"/>
  <c r="AP70" i="1"/>
  <c r="BF70" i="1" s="1"/>
  <c r="AI57" i="1"/>
  <c r="AY57" i="1" s="1"/>
  <c r="AH96" i="1"/>
  <c r="AX96" i="1" s="1"/>
  <c r="AH70" i="1"/>
  <c r="AX70" i="1" s="1"/>
  <c r="AH93" i="1"/>
  <c r="AX93" i="1" s="1"/>
  <c r="AE54" i="1"/>
  <c r="AU54" i="1" s="1"/>
  <c r="AL89" i="1"/>
  <c r="BB89" i="1" s="1"/>
  <c r="AO66" i="1"/>
  <c r="BE66" i="1" s="1"/>
  <c r="AN59" i="1"/>
  <c r="BD59" i="1" s="1"/>
  <c r="AN79" i="1"/>
  <c r="BD79" i="1" s="1"/>
  <c r="AE77" i="1"/>
  <c r="AU77" i="1" s="1"/>
  <c r="AP59" i="1"/>
  <c r="BF59" i="1" s="1"/>
  <c r="AH78" i="1"/>
  <c r="AX78" i="1" s="1"/>
  <c r="AH94" i="1"/>
  <c r="AX94" i="1" s="1"/>
  <c r="AG93" i="1"/>
  <c r="AW93" i="1" s="1"/>
  <c r="AE51" i="1"/>
  <c r="AU51" i="1" s="1"/>
  <c r="AE71" i="1"/>
  <c r="AU71" i="1" s="1"/>
  <c r="AE87" i="1"/>
  <c r="AU87" i="1" s="1"/>
  <c r="AL81" i="1"/>
  <c r="BB81" i="1" s="1"/>
  <c r="AP81" i="1"/>
  <c r="BF81" i="1" s="1"/>
  <c r="AM96" i="1"/>
  <c r="BC96" i="1" s="1"/>
  <c r="AM90" i="1"/>
  <c r="BC90" i="1" s="1"/>
  <c r="AM68" i="1"/>
  <c r="BC68" i="1" s="1"/>
  <c r="AL70" i="1"/>
  <c r="BB70" i="1" s="1"/>
  <c r="AI72" i="1"/>
  <c r="AY72" i="1" s="1"/>
  <c r="AH68" i="1"/>
  <c r="AX68" i="1" s="1"/>
  <c r="AX101" i="1" s="1"/>
  <c r="AG71" i="1"/>
  <c r="AW71" i="1" s="1"/>
  <c r="AM95" i="1"/>
  <c r="BC95" i="1" s="1"/>
  <c r="AL53" i="1"/>
  <c r="BB53" i="1" s="1"/>
  <c r="AL69" i="1"/>
  <c r="BB69" i="1" s="1"/>
  <c r="AI55" i="1"/>
  <c r="AY55" i="1" s="1"/>
  <c r="AI71" i="1"/>
  <c r="AY71" i="1" s="1"/>
  <c r="AI87" i="1"/>
  <c r="AY87" i="1" s="1"/>
  <c r="AH59" i="1"/>
  <c r="AX59" i="1" s="1"/>
  <c r="AH75" i="1"/>
  <c r="AX75" i="1" s="1"/>
  <c r="AH95" i="1"/>
  <c r="AX95" i="1" s="1"/>
  <c r="AG66" i="1"/>
  <c r="AW66" i="1" s="1"/>
  <c r="AG82" i="1"/>
  <c r="AW82" i="1" s="1"/>
  <c r="AF53" i="1"/>
  <c r="AV53" i="1" s="1"/>
  <c r="AF69" i="1"/>
  <c r="AV69" i="1" s="1"/>
  <c r="AF85" i="1"/>
  <c r="AV85" i="1" s="1"/>
  <c r="AE56" i="1"/>
  <c r="AU56" i="1" s="1"/>
  <c r="AE72" i="1"/>
  <c r="AU72" i="1" s="1"/>
  <c r="AE88" i="1"/>
  <c r="AU88" i="1" s="1"/>
  <c r="AP87" i="1"/>
  <c r="BF87" i="1" s="1"/>
  <c r="AP57" i="1"/>
  <c r="BF57" i="1" s="1"/>
  <c r="AL74" i="1"/>
  <c r="BB74" i="1" s="1"/>
  <c r="AI84" i="1"/>
  <c r="AY84" i="1" s="1"/>
  <c r="AH76" i="1"/>
  <c r="AX76" i="1" s="1"/>
  <c r="AG87" i="1"/>
  <c r="AW87" i="1" s="1"/>
  <c r="AE65" i="1"/>
  <c r="AU65" i="1" s="1"/>
  <c r="AE55" i="1"/>
  <c r="AU55" i="1" s="1"/>
  <c r="AE70" i="1"/>
  <c r="AU70" i="1" s="1"/>
  <c r="AF70" i="1"/>
  <c r="AV70" i="1" s="1"/>
  <c r="AE78" i="1"/>
  <c r="AU78" i="1" s="1"/>
  <c r="AE86" i="1"/>
  <c r="AU86" i="1" s="1"/>
  <c r="AO96" i="1"/>
  <c r="BE96" i="1" s="1"/>
  <c r="AO52" i="1"/>
  <c r="BE52" i="1" s="1"/>
  <c r="AO73" i="1"/>
  <c r="BE73" i="1" s="1"/>
  <c r="AO94" i="1"/>
  <c r="BE94" i="1" s="1"/>
  <c r="AO51" i="1"/>
  <c r="BE51" i="1" s="1"/>
  <c r="AO56" i="1"/>
  <c r="BE56" i="1" s="1"/>
  <c r="AI94" i="1"/>
  <c r="AY94" i="1" s="1"/>
  <c r="AI73" i="1"/>
  <c r="AY73" i="1" s="1"/>
  <c r="AO71" i="1"/>
  <c r="BE71" i="1" s="1"/>
  <c r="AI61" i="1"/>
  <c r="AY61" i="1" s="1"/>
  <c r="AI95" i="1"/>
  <c r="AY95" i="1" s="1"/>
  <c r="AO82" i="1"/>
  <c r="BE82" i="1" s="1"/>
  <c r="AP54" i="1"/>
  <c r="BF54" i="1" s="1"/>
  <c r="AP74" i="1"/>
  <c r="BF74" i="1" s="1"/>
  <c r="AO59" i="1"/>
  <c r="BE59" i="1" s="1"/>
  <c r="AO75" i="1"/>
  <c r="BE75" i="1" s="1"/>
  <c r="AI65" i="1"/>
  <c r="AY65" i="1" s="1"/>
  <c r="AI85" i="1"/>
  <c r="AY85" i="1" s="1"/>
  <c r="AN96" i="1"/>
  <c r="BD96" i="1" s="1"/>
  <c r="AN92" i="1"/>
  <c r="BD92" i="1" s="1"/>
  <c r="AO83" i="1"/>
  <c r="BE83" i="1" s="1"/>
  <c r="AN84" i="1"/>
  <c r="BD84" i="1" s="1"/>
  <c r="AP51" i="1"/>
  <c r="BF51" i="1" s="1"/>
  <c r="AP71" i="1"/>
  <c r="BF71" i="1" s="1"/>
  <c r="AO64" i="1"/>
  <c r="BE64" i="1" s="1"/>
  <c r="AN53" i="1"/>
  <c r="BD53" i="1" s="1"/>
  <c r="AN73" i="1"/>
  <c r="BD73" i="1" s="1"/>
  <c r="AI54" i="1"/>
  <c r="AY54" i="1" s="1"/>
  <c r="AI74" i="1"/>
  <c r="AY74" i="1" s="1"/>
  <c r="AH58" i="1"/>
  <c r="AX58" i="1" s="1"/>
  <c r="AO88" i="1"/>
  <c r="BE88" i="1" s="1"/>
  <c r="AN93" i="1"/>
  <c r="BD93" i="1" s="1"/>
  <c r="AL84" i="1"/>
  <c r="BB84" i="1" s="1"/>
  <c r="AP56" i="1"/>
  <c r="BF56" i="1" s="1"/>
  <c r="AP72" i="1"/>
  <c r="BF72" i="1" s="1"/>
  <c r="AO61" i="1"/>
  <c r="BE61" i="1" s="1"/>
  <c r="AO81" i="1"/>
  <c r="BE81" i="1" s="1"/>
  <c r="BE102" i="1" s="1"/>
  <c r="AN66" i="1"/>
  <c r="BD66" i="1" s="1"/>
  <c r="AN60" i="1"/>
  <c r="BD60" i="1" s="1"/>
  <c r="AL51" i="1"/>
  <c r="BB51" i="1" s="1"/>
  <c r="AI89" i="1"/>
  <c r="AY89" i="1" s="1"/>
  <c r="AH81" i="1"/>
  <c r="AX81" i="1" s="1"/>
  <c r="AE58" i="1"/>
  <c r="AU58" i="1" s="1"/>
  <c r="AO93" i="1"/>
  <c r="BE93" i="1" s="1"/>
  <c r="AP61" i="1"/>
  <c r="BF61" i="1" s="1"/>
  <c r="AO74" i="1"/>
  <c r="BE74" i="1" s="1"/>
  <c r="AN63" i="1"/>
  <c r="BD63" i="1" s="1"/>
  <c r="AI88" i="1"/>
  <c r="AY88" i="1" s="1"/>
  <c r="AG63" i="1"/>
  <c r="AW63" i="1" s="1"/>
  <c r="AE93" i="1"/>
  <c r="AU93" i="1" s="1"/>
  <c r="AO68" i="1"/>
  <c r="BE68" i="1" s="1"/>
  <c r="AI62" i="1"/>
  <c r="AY62" i="1" s="1"/>
  <c r="AH82" i="1"/>
  <c r="AX82" i="1" s="1"/>
  <c r="AG53" i="1"/>
  <c r="AW53" i="1" s="1"/>
  <c r="AW100" i="1" s="1"/>
  <c r="AG69" i="1"/>
  <c r="AW69" i="1" s="1"/>
  <c r="AG81" i="1"/>
  <c r="AW81" i="1" s="1"/>
  <c r="AE59" i="1"/>
  <c r="AU59" i="1" s="1"/>
  <c r="AE75" i="1"/>
  <c r="AU75" i="1" s="1"/>
  <c r="AE91" i="1"/>
  <c r="AU91" i="1" s="1"/>
  <c r="AO85" i="1"/>
  <c r="BE85" i="1" s="1"/>
  <c r="AL93" i="1"/>
  <c r="BB93" i="1" s="1"/>
  <c r="AO62" i="1"/>
  <c r="BE62" i="1" s="1"/>
  <c r="AM81" i="1"/>
  <c r="BC81" i="1" s="1"/>
  <c r="AL78" i="1"/>
  <c r="BB78" i="1" s="1"/>
  <c r="AI80" i="1"/>
  <c r="AY80" i="1" s="1"/>
  <c r="AH80" i="1"/>
  <c r="AX80" i="1" s="1"/>
  <c r="AG95" i="1"/>
  <c r="AW95" i="1" s="1"/>
  <c r="AE61" i="1"/>
  <c r="AU61" i="1" s="1"/>
  <c r="AP86" i="1"/>
  <c r="BF86" i="1" s="1"/>
  <c r="AO57" i="1"/>
  <c r="BE57" i="1" s="1"/>
  <c r="AL57" i="1"/>
  <c r="BB57" i="1" s="1"/>
  <c r="AL73" i="1"/>
  <c r="BB73" i="1" s="1"/>
  <c r="AI59" i="1"/>
  <c r="AY59" i="1" s="1"/>
  <c r="AI75" i="1"/>
  <c r="AY75" i="1" s="1"/>
  <c r="AI91" i="1"/>
  <c r="AY91" i="1" s="1"/>
  <c r="AH63" i="1"/>
  <c r="AX63" i="1" s="1"/>
  <c r="AH79" i="1"/>
  <c r="AX79" i="1" s="1"/>
  <c r="AG54" i="1"/>
  <c r="AW54" i="1" s="1"/>
  <c r="AG70" i="1"/>
  <c r="AW70" i="1" s="1"/>
  <c r="AG86" i="1"/>
  <c r="AW86" i="1" s="1"/>
  <c r="AF57" i="1"/>
  <c r="AV57" i="1" s="1"/>
  <c r="AF73" i="1"/>
  <c r="AV73" i="1" s="1"/>
  <c r="AF89" i="1"/>
  <c r="AV89" i="1" s="1"/>
  <c r="AE60" i="1"/>
  <c r="AU60" i="1" s="1"/>
  <c r="AE76" i="1"/>
  <c r="AU76" i="1" s="1"/>
  <c r="AE92" i="1"/>
  <c r="AU92" i="1" s="1"/>
  <c r="AP91" i="1"/>
  <c r="BF91" i="1" s="1"/>
  <c r="AN90" i="1"/>
  <c r="BD90" i="1" s="1"/>
  <c r="AP65" i="1"/>
  <c r="BF65" i="1" s="1"/>
  <c r="AO78" i="1"/>
  <c r="BE78" i="1" s="1"/>
  <c r="AI60" i="1"/>
  <c r="AY60" i="1" s="1"/>
  <c r="AH52" i="1"/>
  <c r="AX52" i="1" s="1"/>
  <c r="AX100" i="1" s="1"/>
  <c r="AH88" i="1"/>
  <c r="AX88" i="1" s="1"/>
  <c r="AF62" i="1"/>
  <c r="AV62" i="1" s="1"/>
  <c r="AE81" i="1"/>
  <c r="AU81" i="1" s="1"/>
  <c r="AE74" i="1"/>
  <c r="AU74" i="1" s="1"/>
  <c r="AE90" i="1"/>
  <c r="AU90" i="1" s="1"/>
  <c r="AG67" i="1"/>
  <c r="AW67" i="1" s="1"/>
  <c r="AF86" i="1"/>
  <c r="AV86" i="1" s="1"/>
  <c r="AE94" i="1"/>
  <c r="AU94" i="1" s="1"/>
  <c r="AU102" i="1" l="1"/>
  <c r="AY102" i="1"/>
  <c r="AX102" i="1"/>
  <c r="AV100" i="1"/>
  <c r="AU100" i="1"/>
  <c r="AW102" i="1"/>
  <c r="AW101" i="1"/>
  <c r="AU101" i="1"/>
  <c r="BC101" i="1"/>
  <c r="AY100" i="1"/>
  <c r="BC102" i="1"/>
  <c r="BF100" i="1"/>
  <c r="BF101" i="1"/>
  <c r="BE101" i="1"/>
  <c r="BD101" i="1"/>
  <c r="BF102" i="1"/>
  <c r="BB101" i="1"/>
  <c r="BD100" i="1"/>
  <c r="BC100" i="1"/>
  <c r="BE100" i="1"/>
  <c r="BD102" i="1"/>
  <c r="BB102" i="1"/>
  <c r="BB100" i="1"/>
</calcChain>
</file>

<file path=xl/sharedStrings.xml><?xml version="1.0" encoding="utf-8"?>
<sst xmlns="http://schemas.openxmlformats.org/spreadsheetml/2006/main" count="167" uniqueCount="102">
  <si>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</si>
  <si>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</si>
  <si>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</si>
  <si>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</si>
  <si>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</si>
  <si>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</si>
  <si>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</si>
  <si>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</si>
  <si>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</si>
  <si>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</si>
  <si>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</si>
  <si>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</si>
  <si>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</si>
  <si>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</si>
  <si>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</si>
  <si>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</si>
  <si>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</si>
  <si>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</si>
  <si>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</si>
  <si>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</si>
  <si>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</si>
  <si>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</si>
  <si>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</si>
  <si>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</si>
  <si>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</si>
  <si>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</si>
  <si>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</si>
  <si>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</si>
  <si>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</si>
  <si>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</si>
  <si>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</si>
  <si>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</si>
  <si>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</si>
  <si>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</si>
  <si>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</si>
  <si>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</si>
  <si>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</si>
  <si>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</si>
  <si>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</si>
  <si>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</si>
  <si>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</si>
  <si>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</si>
  <si>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</si>
  <si>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</si>
  <si>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</si>
  <si>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P1</t>
  </si>
  <si>
    <t>P2</t>
  </si>
  <si>
    <t>P3</t>
  </si>
  <si>
    <t>P4</t>
  </si>
  <si>
    <t>P5</t>
  </si>
  <si>
    <t>P6</t>
  </si>
  <si>
    <t>P7</t>
  </si>
  <si>
    <t>C1</t>
  </si>
  <si>
    <t>C2</t>
  </si>
  <si>
    <t>CTAAA72</t>
  </si>
  <si>
    <t>mi320</t>
  </si>
  <si>
    <t>mi191</t>
  </si>
  <si>
    <t>Case Number</t>
  </si>
  <si>
    <t>PCR PLATE</t>
  </si>
  <si>
    <t>ΔCq 449</t>
  </si>
  <si>
    <t>ΔCq 2245</t>
  </si>
  <si>
    <t>ΔCq 2278</t>
  </si>
  <si>
    <t>ΔCq 7065</t>
  </si>
  <si>
    <t>ΔCq 385</t>
  </si>
  <si>
    <t>ΔCq 2249</t>
  </si>
  <si>
    <t>Allocation</t>
  </si>
  <si>
    <t>ΔCq of the house keeping gene mi320</t>
  </si>
  <si>
    <t>ΔCq AA72</t>
  </si>
  <si>
    <t>ΔCq of the house keeping gene mi191</t>
  </si>
  <si>
    <t>Group 1</t>
  </si>
  <si>
    <t>Group 2</t>
  </si>
  <si>
    <t>Group 3</t>
  </si>
  <si>
    <t>Reordered to matche groups 1,2,3</t>
  </si>
  <si>
    <t>ΔCq Control</t>
  </si>
  <si>
    <t>ΔΔCq= Δcq target-ΔCq controle (mi320)</t>
  </si>
  <si>
    <t>ΔΔCq= Δcq target-ΔCq controle (mi191)</t>
  </si>
  <si>
    <t>Fold change=2^ΔΔCq (mi320)</t>
  </si>
  <si>
    <t>Fold change=2^ΔΔCq (mi191)</t>
  </si>
  <si>
    <t>Group 1 (S)</t>
  </si>
  <si>
    <t>Group 2 (NS)</t>
  </si>
  <si>
    <t>Group 3 (C)</t>
  </si>
  <si>
    <t xml:space="preserve">miRNA 125b </t>
  </si>
  <si>
    <t xml:space="preserve">miRNA 122 </t>
  </si>
  <si>
    <t xml:space="preserve">miRNA 145 </t>
  </si>
  <si>
    <t>miRNA  125a</t>
  </si>
  <si>
    <t xml:space="preserve">miRNA 1 </t>
  </si>
  <si>
    <t xml:space="preserve">miRNA 143 </t>
  </si>
  <si>
    <t>Group</t>
  </si>
  <si>
    <t>mi320_mean</t>
  </si>
  <si>
    <t>mi320_std</t>
  </si>
  <si>
    <t>mi320_count</t>
  </si>
  <si>
    <t>mi191_mean</t>
  </si>
  <si>
    <t>mi191_std</t>
  </si>
  <si>
    <t>mi191_count</t>
  </si>
  <si>
    <t>CV_mi320_</t>
  </si>
  <si>
    <t>CV_mi191_</t>
  </si>
  <si>
    <t>C</t>
  </si>
  <si>
    <t>NS</t>
  </si>
  <si>
    <t>S</t>
  </si>
  <si>
    <t>ANOVA Results</t>
  </si>
  <si>
    <r>
      <t>miR-191:</t>
    </r>
    <r>
      <rPr>
        <sz val="11"/>
        <color theme="1"/>
        <rFont val="Calibri"/>
        <family val="2"/>
        <scheme val="minor"/>
      </rPr>
      <t xml:space="preserve"> p = 0.0836 → </t>
    </r>
    <r>
      <rPr>
        <i/>
        <sz val="11"/>
        <color theme="1"/>
        <rFont val="Calibri"/>
        <family val="2"/>
        <scheme val="minor"/>
      </rPr>
      <t>not significantly different</t>
    </r>
    <r>
      <rPr>
        <sz val="11"/>
        <color theme="1"/>
        <rFont val="Calibri"/>
        <family val="2"/>
        <scheme val="minor"/>
      </rPr>
      <t xml:space="preserve"> between S, NS, and C groups.</t>
    </r>
  </si>
  <si>
    <r>
      <t>miR-320:</t>
    </r>
    <r>
      <rPr>
        <sz val="11"/>
        <color theme="1"/>
        <rFont val="Calibri"/>
        <family val="2"/>
        <scheme val="minor"/>
      </rPr>
      <t xml:space="preserve"> p = 0.0365 → </t>
    </r>
    <r>
      <rPr>
        <i/>
        <sz val="11"/>
        <color theme="1"/>
        <rFont val="Calibri"/>
        <family val="2"/>
        <scheme val="minor"/>
      </rPr>
      <t>slightly significant difference</t>
    </r>
    <r>
      <rPr>
        <sz val="11"/>
        <color theme="1"/>
        <rFont val="Calibri"/>
        <family val="2"/>
        <scheme val="minor"/>
      </rPr>
      <t xml:space="preserve"> among groups.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</si>
</sst>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0" fillId="9" borderId="0" xfId="0" applyFill="1"/>
    <xf numFmtId="0" fontId="5" fillId="4" borderId="0" xfId="0" applyFont="1" applyFill="1"/>
    <xf numFmtId="0" fontId="0" fillId="9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0" borderId="1" xfId="0" applyBorder="1"/>
    <xf numFmtId="0" fontId="0" fillId="9" borderId="2" xfId="0" applyFill="1" applyBorder="1" applyAlignment="1">
      <alignment horizontal="left"/>
    </xf>
    <xf numFmtId="0" fontId="0" fillId="9" borderId="3" xfId="0" applyFill="1" applyBorder="1"/>
    <xf numFmtId="0" fontId="0" fillId="9" borderId="2" xfId="0" applyFill="1" applyBorder="1"/>
    <xf numFmtId="0" fontId="0" fillId="7" borderId="2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9" borderId="4" xfId="0" applyFill="1" applyBorder="1"/>
    <xf numFmtId="0" fontId="0" fillId="9" borderId="4" xfId="0" applyFill="1" applyBorder="1" applyAlignment="1">
      <alignment horizontal="center"/>
    </xf>
    <xf numFmtId="0" fontId="0" fillId="9" borderId="4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6" xfId="0" applyFill="1" applyBorder="1"/>
    <xf numFmtId="0" fontId="0" fillId="9" borderId="5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2" borderId="3" xfId="0" applyFill="1" applyBorder="1"/>
    <xf numFmtId="0" fontId="0" fillId="7" borderId="3" xfId="0" applyFill="1" applyBorder="1"/>
    <xf numFmtId="0" fontId="0" fillId="2" borderId="2" xfId="0" applyFill="1" applyBorder="1"/>
    <xf numFmtId="0" fontId="0" fillId="0" borderId="4" xfId="0" applyBorder="1"/>
    <xf numFmtId="0" fontId="5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6" fillId="0" borderId="0" xfId="0" applyFont="1"/>
    <xf numFmtId="0" fontId="0" fillId="2" borderId="4" xfId="0" applyFill="1" applyBorder="1"/>
    <xf numFmtId="0" fontId="0" fillId="2" borderId="5" xfId="0" applyFill="1" applyBorder="1"/>
    <xf numFmtId="0" fontId="4" fillId="11" borderId="0" xfId="0" applyFont="1" applyFill="1"/>
    <xf numFmtId="0" fontId="8" fillId="12" borderId="0" xfId="0" applyFont="1" applyFill="1"/>
    <xf numFmtId="0" fontId="8" fillId="11" borderId="0" xfId="0" applyFont="1" applyFill="1"/>
    <xf numFmtId="0" fontId="2" fillId="0" borderId="1" xfId="0" applyFont="1" applyBorder="1" applyAlignment="1">
      <alignment horizontal="center" vertical="top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58967</xdr:colOff>
      <xdr:row>3</xdr:row>
      <xdr:rowOff>18143</xdr:rowOff>
    </xdr:from>
    <xdr:to>
      <xdr:col>41</xdr:col>
      <xdr:colOff>355971</xdr:colOff>
      <xdr:row>26</xdr:row>
      <xdr:rowOff>63901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769DC9-7377-43F2-BF9D-88B6E5B26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19634" y="589643"/>
          <a:ext cx="6393004" cy="4427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2"/>
  <sheetViews>
    <sheetView tabSelected="1" zoomScale="85" zoomScaleNormal="50" workbookViewId="0">
      <selection activeCell="O16" sqref="O16"/>
    </sheetView>
  </sheetViews>
  <sheetFormatPr defaultColWidth="8.796875" defaultRowHeight="14.25" x14ac:dyDescent="0.45"/>
  <cols>
    <col min="1" max="1" width="12" customWidth="1"/>
    <col min="2" max="2" width="14.796875" style="4" customWidth="1"/>
    <col min="3" max="11" width="9.1328125" style="11"/>
  </cols>
  <sheetData>
    <row r="1" spans="1:21" x14ac:dyDescent="0.45">
      <c r="A1" s="3" t="s">
        <v>58</v>
      </c>
      <c r="B1" s="3" t="s">
        <v>57</v>
      </c>
      <c r="C1" s="15" t="s">
        <v>45</v>
      </c>
      <c r="D1" s="12" t="s">
        <v>46</v>
      </c>
      <c r="E1" s="14" t="s">
        <v>47</v>
      </c>
      <c r="F1" s="12" t="s">
        <v>48</v>
      </c>
      <c r="G1" s="14" t="s">
        <v>49</v>
      </c>
      <c r="H1" s="12" t="s">
        <v>50</v>
      </c>
      <c r="I1" s="14" t="s">
        <v>51</v>
      </c>
      <c r="J1" s="12" t="s">
        <v>52</v>
      </c>
      <c r="K1" s="14" t="s">
        <v>53</v>
      </c>
    </row>
    <row r="2" spans="1:21" x14ac:dyDescent="0.45">
      <c r="A2" s="12" t="s">
        <v>65</v>
      </c>
      <c r="B2" s="3"/>
      <c r="C2" s="15" t="s">
        <v>54</v>
      </c>
      <c r="D2" s="12">
        <v>449</v>
      </c>
      <c r="E2" s="14">
        <v>2245</v>
      </c>
      <c r="F2" s="12">
        <v>2278</v>
      </c>
      <c r="G2" s="14">
        <v>7065</v>
      </c>
      <c r="H2" s="12">
        <v>385</v>
      </c>
      <c r="I2" s="14">
        <v>2249</v>
      </c>
      <c r="J2" s="12" t="s">
        <v>55</v>
      </c>
      <c r="K2" s="14" t="s">
        <v>56</v>
      </c>
      <c r="M2" s="46"/>
      <c r="U2" s="46"/>
    </row>
    <row r="3" spans="1:21" x14ac:dyDescent="0.45">
      <c r="A3" s="5" t="s">
        <v>0</v>
      </c>
      <c r="B3" s="8">
        <v>10536826</v>
      </c>
      <c r="D3" s="11">
        <v>28.7</v>
      </c>
      <c r="E3" s="11">
        <v>29.945</v>
      </c>
      <c r="F3" s="11">
        <v>27.873333333333335</v>
      </c>
      <c r="G3" s="11">
        <v>27.885000000000002</v>
      </c>
      <c r="H3" s="11">
        <v>30.35</v>
      </c>
      <c r="I3" s="11">
        <v>27.75</v>
      </c>
      <c r="J3" s="11">
        <v>25.256666666666664</v>
      </c>
      <c r="K3" s="11">
        <v>24.136666666666667</v>
      </c>
    </row>
    <row r="4" spans="1:21" x14ac:dyDescent="0.45">
      <c r="A4" s="5" t="s">
        <v>1</v>
      </c>
      <c r="B4" s="8">
        <v>10506620</v>
      </c>
      <c r="D4" s="11">
        <v>30.740000000000002</v>
      </c>
      <c r="E4" s="11">
        <v>30.66</v>
      </c>
      <c r="F4" s="11">
        <v>31.364999999999998</v>
      </c>
      <c r="G4" s="11">
        <v>31.68</v>
      </c>
      <c r="H4" s="11">
        <v>31.653333333333336</v>
      </c>
      <c r="I4" s="11">
        <v>29.824999999999999</v>
      </c>
      <c r="J4" s="11">
        <v>25.396666666666665</v>
      </c>
      <c r="K4" s="11">
        <v>25.266666666666666</v>
      </c>
    </row>
    <row r="5" spans="1:21" x14ac:dyDescent="0.45">
      <c r="A5" s="5" t="s">
        <v>2</v>
      </c>
      <c r="B5" s="8">
        <v>10538507</v>
      </c>
      <c r="D5" s="11">
        <v>28.150000000000002</v>
      </c>
      <c r="E5" s="11">
        <v>31.540000000000003</v>
      </c>
      <c r="F5" s="11">
        <v>26.62</v>
      </c>
      <c r="G5" s="11">
        <v>28.7</v>
      </c>
      <c r="H5" s="11">
        <v>32.076666666666661</v>
      </c>
      <c r="I5" s="11">
        <v>28.12</v>
      </c>
      <c r="J5" s="11">
        <v>25.346666666666664</v>
      </c>
      <c r="K5" s="11">
        <v>24.01</v>
      </c>
    </row>
    <row r="6" spans="1:21" x14ac:dyDescent="0.45">
      <c r="A6" s="5" t="s">
        <v>3</v>
      </c>
      <c r="B6" s="8">
        <v>10516670</v>
      </c>
      <c r="D6" s="11">
        <v>31.17</v>
      </c>
      <c r="E6" s="11">
        <v>31.406666666666666</v>
      </c>
      <c r="F6" s="11">
        <v>30.363333333333333</v>
      </c>
      <c r="G6" s="11">
        <v>31.983333333333334</v>
      </c>
      <c r="H6" s="11">
        <v>34.353333333333332</v>
      </c>
      <c r="I6" s="11">
        <v>31.483333333333331</v>
      </c>
      <c r="J6" s="11">
        <v>26.97</v>
      </c>
      <c r="K6" s="11">
        <v>26.796666666666667</v>
      </c>
    </row>
    <row r="7" spans="1:21" x14ac:dyDescent="0.45">
      <c r="A7" s="5" t="s">
        <v>4</v>
      </c>
      <c r="B7" s="8">
        <v>10527154</v>
      </c>
      <c r="D7" s="11">
        <v>27.736666666666665</v>
      </c>
      <c r="E7" s="11">
        <v>29.833333333333332</v>
      </c>
      <c r="F7" s="11">
        <v>25.5</v>
      </c>
      <c r="G7" s="11">
        <v>27.06</v>
      </c>
      <c r="H7" s="11">
        <v>31.99</v>
      </c>
      <c r="I7" s="11">
        <v>27.123333333333335</v>
      </c>
      <c r="J7" s="11">
        <v>24.396666666666665</v>
      </c>
      <c r="K7" s="11">
        <v>23.28</v>
      </c>
    </row>
    <row r="8" spans="1:21" x14ac:dyDescent="0.45">
      <c r="A8" s="5" t="s">
        <v>5</v>
      </c>
      <c r="B8" s="8">
        <v>10534541</v>
      </c>
      <c r="D8" s="11">
        <v>30.266666666666666</v>
      </c>
      <c r="E8" s="11">
        <v>31.814999999999998</v>
      </c>
      <c r="F8" s="11">
        <v>28.646666666666665</v>
      </c>
      <c r="G8" s="11">
        <v>30.643333333333334</v>
      </c>
      <c r="H8" s="11">
        <v>33.14</v>
      </c>
      <c r="I8" s="11">
        <v>31.623333333333335</v>
      </c>
      <c r="J8" s="11">
        <v>26.573333333333334</v>
      </c>
      <c r="K8" s="11">
        <v>25.513333333333332</v>
      </c>
    </row>
    <row r="9" spans="1:21" x14ac:dyDescent="0.45">
      <c r="A9" s="5" t="s">
        <v>6</v>
      </c>
      <c r="B9" s="8">
        <v>10536902</v>
      </c>
      <c r="D9" s="11">
        <v>29.573333333333334</v>
      </c>
      <c r="E9" s="11">
        <v>23.723333333333329</v>
      </c>
      <c r="F9" s="11">
        <v>27.75</v>
      </c>
      <c r="G9" s="11">
        <v>29.085000000000001</v>
      </c>
      <c r="H9" s="11">
        <v>31.509999999999998</v>
      </c>
      <c r="I9" s="11">
        <v>28.766666666666669</v>
      </c>
      <c r="J9" s="11">
        <v>25.564999999999998</v>
      </c>
      <c r="K9" s="11">
        <v>27.27333333333333</v>
      </c>
    </row>
    <row r="10" spans="1:21" x14ac:dyDescent="0.45">
      <c r="A10" s="5" t="s">
        <v>7</v>
      </c>
      <c r="B10" s="8">
        <v>10509147</v>
      </c>
      <c r="D10" s="11">
        <v>28.27333333333333</v>
      </c>
      <c r="E10" s="11">
        <v>29.793333333333333</v>
      </c>
      <c r="F10" s="11">
        <v>26.546666666666667</v>
      </c>
      <c r="G10" s="11">
        <v>29</v>
      </c>
      <c r="H10" s="11">
        <v>32.11</v>
      </c>
      <c r="I10" s="11">
        <v>26.86</v>
      </c>
      <c r="J10" s="11">
        <v>25.763333333333332</v>
      </c>
      <c r="K10" s="11">
        <v>24.946666666666669</v>
      </c>
    </row>
    <row r="11" spans="1:21" x14ac:dyDescent="0.45">
      <c r="A11" s="6" t="s">
        <v>8</v>
      </c>
      <c r="B11" s="9">
        <v>10537769</v>
      </c>
      <c r="D11" s="11">
        <v>26.346666666666668</v>
      </c>
      <c r="E11" s="11">
        <v>30.923333333333332</v>
      </c>
      <c r="F11" s="11">
        <v>23.209999999999997</v>
      </c>
      <c r="G11" s="11">
        <v>28.703333333333333</v>
      </c>
      <c r="H11" s="11">
        <v>32.254999999999995</v>
      </c>
      <c r="I11" s="11">
        <v>26.429999999999996</v>
      </c>
      <c r="J11" s="11">
        <v>24.703333333333333</v>
      </c>
      <c r="K11" s="11">
        <v>25.1840476190476</v>
      </c>
    </row>
    <row r="12" spans="1:21" x14ac:dyDescent="0.45">
      <c r="A12" s="6" t="s">
        <v>9</v>
      </c>
      <c r="B12" s="9">
        <v>10538347</v>
      </c>
      <c r="D12" s="11">
        <v>29.82</v>
      </c>
      <c r="E12" s="11">
        <v>33.913333333333334</v>
      </c>
      <c r="F12" s="11">
        <v>27.403333333333336</v>
      </c>
      <c r="G12" s="11">
        <v>29.935000000000002</v>
      </c>
      <c r="H12" s="11">
        <v>36.144999999999996</v>
      </c>
      <c r="I12" s="11">
        <v>28.496666666666666</v>
      </c>
      <c r="J12" s="11">
        <v>28.606666666666666</v>
      </c>
      <c r="K12" s="11">
        <v>27.58</v>
      </c>
    </row>
    <row r="13" spans="1:21" x14ac:dyDescent="0.45">
      <c r="A13" s="6" t="s">
        <v>10</v>
      </c>
      <c r="B13" s="9">
        <v>10536398</v>
      </c>
      <c r="D13" s="11">
        <v>26.716666666666665</v>
      </c>
      <c r="E13" s="11">
        <v>27.66</v>
      </c>
      <c r="F13" s="11">
        <v>25.833333333333332</v>
      </c>
      <c r="G13" s="11">
        <v>27.153333333333336</v>
      </c>
      <c r="H13" s="11">
        <v>32.419999999999995</v>
      </c>
      <c r="I13" s="11">
        <v>26.366666666666664</v>
      </c>
      <c r="J13" s="11">
        <v>25.203333333333333</v>
      </c>
      <c r="K13" s="11">
        <v>24.959999999999997</v>
      </c>
    </row>
    <row r="14" spans="1:21" x14ac:dyDescent="0.45">
      <c r="A14" s="6" t="s">
        <v>11</v>
      </c>
      <c r="B14" s="9">
        <v>10546601</v>
      </c>
      <c r="D14" s="11">
        <v>29.5</v>
      </c>
      <c r="E14" s="11">
        <v>34.040000000000006</v>
      </c>
      <c r="F14" s="11">
        <v>27.040000000000003</v>
      </c>
      <c r="G14" s="11">
        <v>30.093333333333334</v>
      </c>
      <c r="H14" s="11">
        <v>26.88</v>
      </c>
      <c r="I14" s="11">
        <v>28.97</v>
      </c>
      <c r="J14" s="11">
        <v>25.696666666666669</v>
      </c>
      <c r="K14" s="11">
        <v>25.043333333333333</v>
      </c>
    </row>
    <row r="15" spans="1:21" x14ac:dyDescent="0.45">
      <c r="A15" s="6" t="s">
        <v>12</v>
      </c>
      <c r="B15" s="9">
        <v>10539336</v>
      </c>
      <c r="D15" s="11">
        <v>28.159999999999997</v>
      </c>
      <c r="E15" s="11">
        <v>29.863333333333333</v>
      </c>
      <c r="F15" s="11">
        <v>27.28</v>
      </c>
      <c r="G15" s="11">
        <v>28.486666666666668</v>
      </c>
      <c r="H15" s="11">
        <v>30.443333333333332</v>
      </c>
      <c r="I15" s="11">
        <v>28.596666666666668</v>
      </c>
      <c r="J15" s="11">
        <v>24.736666666666668</v>
      </c>
      <c r="K15" s="11">
        <v>23.803333333333331</v>
      </c>
    </row>
    <row r="16" spans="1:21" x14ac:dyDescent="0.45">
      <c r="A16" s="6" t="s">
        <v>13</v>
      </c>
      <c r="B16" s="9">
        <v>10541950</v>
      </c>
      <c r="D16" s="11">
        <v>26.866666666666664</v>
      </c>
      <c r="E16" s="11">
        <v>27.36</v>
      </c>
      <c r="F16" s="11">
        <v>25.033333333333331</v>
      </c>
      <c r="G16" s="11">
        <v>27.733333333333334</v>
      </c>
      <c r="H16" s="11">
        <v>32.520000000000003</v>
      </c>
      <c r="I16" s="11">
        <v>26.91</v>
      </c>
      <c r="J16" s="11">
        <v>25.580000000000002</v>
      </c>
      <c r="K16" s="11">
        <v>24.72666666666667</v>
      </c>
    </row>
    <row r="17" spans="1:11" x14ac:dyDescent="0.45">
      <c r="A17" s="6" t="s">
        <v>14</v>
      </c>
      <c r="B17" s="9">
        <v>10511642</v>
      </c>
      <c r="D17" s="11">
        <v>25.840000000000003</v>
      </c>
      <c r="E17" s="11">
        <v>29.993333333333336</v>
      </c>
      <c r="F17" s="11">
        <v>25.066666666666666</v>
      </c>
      <c r="G17" s="11">
        <v>27.176666666666666</v>
      </c>
      <c r="H17" s="11">
        <v>30.403333333333336</v>
      </c>
      <c r="I17" s="11">
        <v>26.986666666666668</v>
      </c>
      <c r="J17" s="11">
        <v>25.7</v>
      </c>
      <c r="K17" s="11">
        <v>24.650000000000002</v>
      </c>
    </row>
    <row r="18" spans="1:11" x14ac:dyDescent="0.45">
      <c r="A18" s="6" t="s">
        <v>15</v>
      </c>
      <c r="B18" s="9">
        <v>10547058</v>
      </c>
      <c r="D18" s="11">
        <v>29.803333333333331</v>
      </c>
      <c r="E18" s="11">
        <v>33.379999999999995</v>
      </c>
      <c r="F18" s="11">
        <v>27.203333333333333</v>
      </c>
      <c r="G18" s="11">
        <v>30.443333333333332</v>
      </c>
      <c r="H18" s="11">
        <v>33.879999999999995</v>
      </c>
      <c r="I18" s="11">
        <v>28.076666666666664</v>
      </c>
      <c r="J18" s="11">
        <v>26.45</v>
      </c>
      <c r="K18" s="11">
        <v>25.84</v>
      </c>
    </row>
    <row r="19" spans="1:11" x14ac:dyDescent="0.45">
      <c r="A19" s="7" t="s">
        <v>16</v>
      </c>
      <c r="B19" s="10">
        <v>10534983</v>
      </c>
      <c r="D19" s="11">
        <v>28.91</v>
      </c>
      <c r="E19" s="11">
        <v>29.849999999999998</v>
      </c>
      <c r="F19" s="11">
        <v>28.103333333333335</v>
      </c>
      <c r="G19" s="11">
        <v>29.67</v>
      </c>
      <c r="H19" s="11">
        <v>32.585000000000001</v>
      </c>
      <c r="I19" s="11">
        <v>29.84</v>
      </c>
      <c r="J19" s="11">
        <v>25.346666666666664</v>
      </c>
      <c r="K19" s="11">
        <v>23.916666666666668</v>
      </c>
    </row>
    <row r="20" spans="1:11" x14ac:dyDescent="0.45">
      <c r="A20" s="7" t="s">
        <v>17</v>
      </c>
      <c r="B20" s="10">
        <v>10526659</v>
      </c>
      <c r="D20" s="11">
        <v>28.103333333333335</v>
      </c>
      <c r="E20" s="11">
        <v>27.734999999999999</v>
      </c>
      <c r="F20" s="11">
        <v>28.206666666666667</v>
      </c>
      <c r="G20" s="11">
        <v>29.209999999999997</v>
      </c>
      <c r="H20" s="11">
        <v>32.876666666666672</v>
      </c>
      <c r="I20" s="11">
        <v>29.346666666666664</v>
      </c>
      <c r="J20" s="11">
        <v>25.096666666666668</v>
      </c>
      <c r="K20" s="11">
        <v>23.98</v>
      </c>
    </row>
    <row r="21" spans="1:11" x14ac:dyDescent="0.45">
      <c r="A21" s="7" t="s">
        <v>18</v>
      </c>
      <c r="B21" s="10">
        <v>10537010</v>
      </c>
      <c r="D21" s="11">
        <v>27.55</v>
      </c>
      <c r="E21" s="11">
        <v>25.58666666666667</v>
      </c>
      <c r="F21" s="11">
        <v>25.11</v>
      </c>
      <c r="G21" s="11">
        <v>28.393333333333331</v>
      </c>
      <c r="H21" s="11">
        <v>31.806666666666668</v>
      </c>
      <c r="I21" s="11">
        <v>26.056666666666668</v>
      </c>
      <c r="J21" s="11">
        <v>25.89</v>
      </c>
      <c r="K21" s="11">
        <v>24.856666666666666</v>
      </c>
    </row>
    <row r="22" spans="1:11" x14ac:dyDescent="0.45">
      <c r="A22" s="7" t="s">
        <v>19</v>
      </c>
      <c r="B22" s="10">
        <v>10335852</v>
      </c>
      <c r="D22" s="11">
        <v>32.623333333333335</v>
      </c>
      <c r="E22" s="11">
        <v>29.303333333333331</v>
      </c>
      <c r="F22" s="11">
        <v>30.75</v>
      </c>
      <c r="G22" s="11">
        <v>33.520000000000003</v>
      </c>
      <c r="H22" s="11">
        <v>37.200000000000003</v>
      </c>
      <c r="I22" s="11">
        <v>32.326666666666668</v>
      </c>
      <c r="J22" s="11">
        <v>28.303333333333331</v>
      </c>
      <c r="K22" s="11">
        <v>27.666666666666668</v>
      </c>
    </row>
    <row r="23" spans="1:11" x14ac:dyDescent="0.45">
      <c r="A23" s="7" t="s">
        <v>20</v>
      </c>
      <c r="B23" s="10">
        <v>10543025</v>
      </c>
      <c r="D23" s="11">
        <v>27.74</v>
      </c>
      <c r="E23" s="11">
        <v>24.376666666666665</v>
      </c>
      <c r="F23" s="11">
        <v>26.556666666666668</v>
      </c>
      <c r="G23" s="11">
        <v>28.27</v>
      </c>
      <c r="H23" s="11">
        <v>32.24</v>
      </c>
      <c r="I23" s="11">
        <v>28.633333333333336</v>
      </c>
      <c r="J23" s="11">
        <v>25.146666666666665</v>
      </c>
      <c r="K23" s="11">
        <v>23.813333333333333</v>
      </c>
    </row>
    <row r="24" spans="1:11" x14ac:dyDescent="0.45">
      <c r="A24" s="7" t="s">
        <v>21</v>
      </c>
      <c r="B24" s="10">
        <v>10544803</v>
      </c>
      <c r="D24" s="11">
        <v>25.790000000000003</v>
      </c>
      <c r="E24" s="11">
        <v>28.790000000000003</v>
      </c>
      <c r="F24" s="11">
        <v>23.943333333333332</v>
      </c>
      <c r="G24" s="11">
        <v>27.01</v>
      </c>
      <c r="H24" s="11">
        <v>30.630000000000003</v>
      </c>
      <c r="I24" s="11">
        <v>24.37</v>
      </c>
      <c r="J24" s="11">
        <v>26.253333333333334</v>
      </c>
      <c r="K24" s="11">
        <v>25.456666666666667</v>
      </c>
    </row>
    <row r="25" spans="1:11" x14ac:dyDescent="0.45">
      <c r="A25" s="7" t="s">
        <v>22</v>
      </c>
      <c r="B25" s="10">
        <v>10338316</v>
      </c>
      <c r="D25" s="11">
        <v>34.153333333333329</v>
      </c>
      <c r="E25" s="11">
        <v>34.596666666666664</v>
      </c>
      <c r="F25" s="11">
        <v>32.466666666666669</v>
      </c>
      <c r="G25" s="11">
        <v>34.734999999999999</v>
      </c>
      <c r="H25" s="11">
        <v>37.380000000000003</v>
      </c>
      <c r="I25" s="11">
        <v>34.986666666666665</v>
      </c>
      <c r="J25" s="11">
        <v>30.490000000000002</v>
      </c>
      <c r="K25" s="11">
        <v>28.74</v>
      </c>
    </row>
    <row r="26" spans="1:11" x14ac:dyDescent="0.45">
      <c r="A26" s="7" t="s">
        <v>23</v>
      </c>
      <c r="B26" s="10">
        <v>10535695</v>
      </c>
      <c r="D26" s="11">
        <v>30.52</v>
      </c>
      <c r="E26" s="11">
        <v>31.376666666666665</v>
      </c>
      <c r="F26" s="11">
        <v>29.459999999999997</v>
      </c>
      <c r="G26" s="11">
        <v>31.263333333333332</v>
      </c>
      <c r="H26" s="11">
        <v>35.020000000000003</v>
      </c>
      <c r="I26" s="11">
        <v>32.266666666666666</v>
      </c>
      <c r="J26" s="11">
        <v>27.473333333333333</v>
      </c>
      <c r="K26" s="11">
        <v>26.243333333333336</v>
      </c>
    </row>
    <row r="27" spans="1:11" x14ac:dyDescent="0.45">
      <c r="A27" s="1" t="s">
        <v>24</v>
      </c>
      <c r="B27" s="2">
        <v>10535209</v>
      </c>
      <c r="D27" s="11">
        <v>29.689999999999998</v>
      </c>
      <c r="E27" s="11">
        <v>31.046666666666667</v>
      </c>
      <c r="F27" s="11">
        <v>26.683333333333334</v>
      </c>
      <c r="G27" s="11">
        <v>29.653333333333336</v>
      </c>
      <c r="H27" s="11">
        <v>35.01</v>
      </c>
      <c r="I27" s="11">
        <v>28.036666666666665</v>
      </c>
      <c r="J27" s="11">
        <v>26.433333333333337</v>
      </c>
      <c r="K27" s="11">
        <v>25.286666666666665</v>
      </c>
    </row>
    <row r="28" spans="1:11" x14ac:dyDescent="0.45">
      <c r="A28" s="1" t="s">
        <v>25</v>
      </c>
      <c r="B28" s="2">
        <v>10543865</v>
      </c>
      <c r="D28" s="11">
        <v>29.25</v>
      </c>
      <c r="E28" s="11">
        <v>30.57</v>
      </c>
      <c r="F28" s="11">
        <v>25.826666666666668</v>
      </c>
      <c r="G28" s="11">
        <v>30.373333333333335</v>
      </c>
      <c r="H28" s="11">
        <v>35.913333333333334</v>
      </c>
      <c r="I28" s="11">
        <v>28.776666666666667</v>
      </c>
      <c r="J28" s="11">
        <v>27.036666666666672</v>
      </c>
      <c r="K28" s="11">
        <v>25.899999999999995</v>
      </c>
    </row>
    <row r="29" spans="1:11" x14ac:dyDescent="0.45">
      <c r="A29" s="1" t="s">
        <v>26</v>
      </c>
      <c r="B29" s="2">
        <v>10536556</v>
      </c>
      <c r="D29" s="11">
        <v>29.945</v>
      </c>
      <c r="E29" s="11">
        <v>33.08</v>
      </c>
      <c r="F29" s="11">
        <v>28.475000000000001</v>
      </c>
      <c r="G29" s="11">
        <v>31.41</v>
      </c>
      <c r="H29" s="11">
        <v>35.409999999999997</v>
      </c>
      <c r="I29" s="11">
        <v>30.72</v>
      </c>
      <c r="J29" s="11">
        <v>26.92</v>
      </c>
      <c r="K29" s="11">
        <v>26.795000000000002</v>
      </c>
    </row>
    <row r="30" spans="1:11" x14ac:dyDescent="0.45">
      <c r="A30" s="1" t="s">
        <v>27</v>
      </c>
      <c r="B30" s="2">
        <v>10539019</v>
      </c>
      <c r="D30" s="11">
        <v>27.69</v>
      </c>
      <c r="E30" s="11">
        <v>29.45</v>
      </c>
      <c r="F30" s="11">
        <v>25.366666666666664</v>
      </c>
      <c r="G30" s="11">
        <v>29.456666666666667</v>
      </c>
      <c r="H30" s="11">
        <v>34.856666666666662</v>
      </c>
      <c r="I30" s="11">
        <v>27.786666666666665</v>
      </c>
      <c r="J30" s="11">
        <v>27.086666666666662</v>
      </c>
      <c r="K30" s="11">
        <v>25.846666666666664</v>
      </c>
    </row>
    <row r="31" spans="1:11" x14ac:dyDescent="0.45">
      <c r="A31" s="1" t="s">
        <v>28</v>
      </c>
      <c r="B31" s="2">
        <v>10539382</v>
      </c>
      <c r="D31" s="11">
        <v>28.7</v>
      </c>
      <c r="E31" s="11">
        <v>32.755000000000003</v>
      </c>
      <c r="F31" s="11">
        <v>26.623333333333335</v>
      </c>
      <c r="G31" s="11">
        <v>28.830000000000002</v>
      </c>
      <c r="H31" s="11">
        <v>33.700000000000003</v>
      </c>
      <c r="I31" s="11">
        <v>28.026666666666667</v>
      </c>
      <c r="J31" s="11">
        <v>26.62</v>
      </c>
      <c r="K31" s="11">
        <v>27.496666666666666</v>
      </c>
    </row>
    <row r="32" spans="1:11" x14ac:dyDescent="0.45">
      <c r="A32" s="1" t="s">
        <v>29</v>
      </c>
      <c r="B32" s="2">
        <v>10539885</v>
      </c>
      <c r="D32" s="11">
        <v>27.58</v>
      </c>
      <c r="E32" s="11">
        <v>32.383333333333333</v>
      </c>
      <c r="F32" s="11">
        <v>25.136666666666667</v>
      </c>
      <c r="G32" s="11">
        <v>29.34</v>
      </c>
      <c r="H32" s="11">
        <v>35.034999999999997</v>
      </c>
      <c r="I32" s="11">
        <v>26.593333333333334</v>
      </c>
      <c r="J32" s="11">
        <v>23.72</v>
      </c>
      <c r="K32" s="11">
        <v>22.276666666666667</v>
      </c>
    </row>
    <row r="33" spans="1:59" x14ac:dyDescent="0.45">
      <c r="A33" s="1" t="s">
        <v>30</v>
      </c>
      <c r="B33" s="2">
        <v>10538146</v>
      </c>
      <c r="D33" s="11">
        <v>29.323333333333334</v>
      </c>
      <c r="E33" s="11">
        <v>30.976666666666663</v>
      </c>
      <c r="F33" s="11">
        <v>25.733333333333334</v>
      </c>
      <c r="G33" s="11">
        <v>29.176666666666666</v>
      </c>
      <c r="H33" s="11">
        <v>34.4</v>
      </c>
      <c r="I33" s="11">
        <v>27.463333333333335</v>
      </c>
      <c r="J33" s="11">
        <v>26.97</v>
      </c>
      <c r="K33" s="11">
        <v>25.535</v>
      </c>
    </row>
    <row r="34" spans="1:59" x14ac:dyDescent="0.45">
      <c r="A34" s="1" t="s">
        <v>31</v>
      </c>
      <c r="B34" s="2">
        <v>10334619</v>
      </c>
      <c r="D34" s="11">
        <v>31.745000000000001</v>
      </c>
      <c r="E34" s="11">
        <v>30.876666666666665</v>
      </c>
      <c r="F34" s="11">
        <v>30.613333333333333</v>
      </c>
      <c r="G34" s="11">
        <v>32.006666666666668</v>
      </c>
      <c r="H34" s="13" t="e">
        <v>#DIV/0!</v>
      </c>
      <c r="I34" s="11">
        <v>32.25</v>
      </c>
      <c r="J34" s="11">
        <v>27.659999999999997</v>
      </c>
      <c r="K34" s="11">
        <v>26.333333333333332</v>
      </c>
    </row>
    <row r="35" spans="1:59" x14ac:dyDescent="0.45">
      <c r="A35" s="5" t="s">
        <v>32</v>
      </c>
      <c r="B35" s="8">
        <v>10543018</v>
      </c>
      <c r="D35" s="11">
        <v>30.436666666666667</v>
      </c>
      <c r="E35" s="11">
        <v>33.04666666666666</v>
      </c>
      <c r="F35" s="11">
        <v>26.853333333333335</v>
      </c>
      <c r="G35" s="11">
        <v>30.943333333333332</v>
      </c>
      <c r="H35" s="11">
        <v>35.295000000000002</v>
      </c>
      <c r="I35" s="11">
        <v>28.423333333333332</v>
      </c>
      <c r="J35" s="11">
        <v>27.48</v>
      </c>
      <c r="K35" s="11">
        <v>27.786666666666665</v>
      </c>
    </row>
    <row r="36" spans="1:59" x14ac:dyDescent="0.45">
      <c r="A36" s="5" t="s">
        <v>33</v>
      </c>
      <c r="B36" s="8">
        <v>10339998</v>
      </c>
      <c r="D36" s="11">
        <v>31.743333333333336</v>
      </c>
      <c r="E36" s="11">
        <v>28.916666666666668</v>
      </c>
      <c r="F36" s="11">
        <v>29.296666666666667</v>
      </c>
      <c r="G36" s="11">
        <v>32.366666666666667</v>
      </c>
      <c r="H36" s="11">
        <v>34</v>
      </c>
      <c r="I36" s="11">
        <v>30.796666666666667</v>
      </c>
      <c r="J36" s="11">
        <v>26.8</v>
      </c>
      <c r="K36" s="11">
        <v>26.533333333333331</v>
      </c>
    </row>
    <row r="37" spans="1:59" x14ac:dyDescent="0.45">
      <c r="A37" s="5" t="s">
        <v>34</v>
      </c>
      <c r="B37" s="8">
        <v>10339215</v>
      </c>
      <c r="D37" s="11">
        <v>31.09</v>
      </c>
      <c r="E37" s="11">
        <v>33.199999999999996</v>
      </c>
      <c r="F37" s="11">
        <v>30.456666666666667</v>
      </c>
      <c r="G37" s="11">
        <v>34.876666666666665</v>
      </c>
      <c r="H37" s="11">
        <v>37.409999999999997</v>
      </c>
      <c r="I37" s="11">
        <v>33.519999999999996</v>
      </c>
      <c r="J37" s="11">
        <v>26.296666666666663</v>
      </c>
      <c r="K37" s="11">
        <v>25.693333333333332</v>
      </c>
    </row>
    <row r="38" spans="1:59" x14ac:dyDescent="0.45">
      <c r="A38" s="5" t="s">
        <v>35</v>
      </c>
      <c r="B38" s="8">
        <v>10540539</v>
      </c>
      <c r="D38" s="11">
        <v>28.816666666666666</v>
      </c>
      <c r="E38" s="11">
        <v>33.385000000000005</v>
      </c>
      <c r="F38" s="11">
        <v>26.786666666666665</v>
      </c>
      <c r="G38" s="11">
        <v>30</v>
      </c>
      <c r="H38" s="11">
        <v>31.776666666666667</v>
      </c>
      <c r="I38" s="11">
        <v>28.340000000000003</v>
      </c>
      <c r="J38" s="11">
        <v>25.74</v>
      </c>
      <c r="K38" s="11">
        <v>25.256666666666664</v>
      </c>
    </row>
    <row r="39" spans="1:59" x14ac:dyDescent="0.45">
      <c r="A39" s="5" t="s">
        <v>36</v>
      </c>
      <c r="B39" s="8">
        <v>10539371</v>
      </c>
      <c r="D39" s="11">
        <v>31.09</v>
      </c>
      <c r="E39" s="11">
        <v>29.986666666666668</v>
      </c>
      <c r="F39" s="11">
        <v>29.283333333333331</v>
      </c>
      <c r="G39" s="11">
        <v>32.276666666666671</v>
      </c>
      <c r="H39" s="11">
        <v>35.475000000000001</v>
      </c>
      <c r="I39" s="11">
        <v>30.884999999999998</v>
      </c>
      <c r="J39" s="11">
        <v>27.463333333333335</v>
      </c>
      <c r="K39" s="11">
        <v>27.456666666666667</v>
      </c>
    </row>
    <row r="40" spans="1:59" x14ac:dyDescent="0.45">
      <c r="A40" s="5" t="s">
        <v>37</v>
      </c>
      <c r="B40" s="8">
        <v>10531707</v>
      </c>
      <c r="D40" s="11">
        <v>31.7</v>
      </c>
      <c r="E40" s="11">
        <v>31.590000000000003</v>
      </c>
      <c r="F40" s="11">
        <v>30.316666666666666</v>
      </c>
      <c r="G40" s="11">
        <v>32.623333333333335</v>
      </c>
      <c r="H40" s="11">
        <v>34.369999999999997</v>
      </c>
      <c r="I40" s="11">
        <v>32.536666666666662</v>
      </c>
      <c r="J40" s="11">
        <v>27.16333333333333</v>
      </c>
      <c r="K40" s="11">
        <v>26.756666666666664</v>
      </c>
    </row>
    <row r="41" spans="1:59" x14ac:dyDescent="0.45">
      <c r="A41" s="5" t="s">
        <v>38</v>
      </c>
      <c r="B41" s="8">
        <v>10539285</v>
      </c>
      <c r="D41" s="11">
        <v>31.083333333333332</v>
      </c>
      <c r="E41" s="11">
        <v>32.585000000000001</v>
      </c>
      <c r="F41" s="11">
        <v>31.34</v>
      </c>
      <c r="G41" s="11">
        <v>34.06</v>
      </c>
      <c r="H41" s="11">
        <v>33.943333333333335</v>
      </c>
      <c r="I41" s="11">
        <v>32.635000000000005</v>
      </c>
      <c r="J41" s="11">
        <v>28.526666666666667</v>
      </c>
      <c r="K41" s="11">
        <v>27.820000000000004</v>
      </c>
    </row>
    <row r="42" spans="1:59" x14ac:dyDescent="0.45">
      <c r="A42" s="5" t="s">
        <v>39</v>
      </c>
      <c r="B42" s="8">
        <v>10314111</v>
      </c>
      <c r="D42" s="11">
        <v>30.093333333333334</v>
      </c>
      <c r="E42" s="11">
        <v>32.745000000000005</v>
      </c>
      <c r="F42" s="11">
        <v>30.87</v>
      </c>
      <c r="G42" s="11">
        <v>32.56333333333334</v>
      </c>
      <c r="H42" s="11">
        <v>37.06</v>
      </c>
      <c r="I42" s="11">
        <v>32.413333333333334</v>
      </c>
      <c r="J42" s="11">
        <v>28.73</v>
      </c>
      <c r="K42" s="11">
        <v>27.236666666666668</v>
      </c>
    </row>
    <row r="43" spans="1:59" x14ac:dyDescent="0.45">
      <c r="A43" s="6" t="s">
        <v>40</v>
      </c>
      <c r="B43" s="9">
        <v>10341251</v>
      </c>
      <c r="D43" s="11">
        <v>26.893333333333334</v>
      </c>
      <c r="E43" s="11">
        <v>30.593333333333334</v>
      </c>
      <c r="F43" s="11">
        <v>23.033333333333331</v>
      </c>
      <c r="G43" s="11">
        <v>27.506666666666664</v>
      </c>
      <c r="H43" s="11">
        <v>30.865000000000002</v>
      </c>
      <c r="I43" s="11">
        <v>25.276666666666667</v>
      </c>
      <c r="J43" s="11">
        <v>25.72</v>
      </c>
      <c r="K43" s="11">
        <v>25.443333333333332</v>
      </c>
    </row>
    <row r="44" spans="1:59" x14ac:dyDescent="0.45">
      <c r="A44" s="6" t="s">
        <v>41</v>
      </c>
      <c r="B44" s="9">
        <v>10324116</v>
      </c>
      <c r="D44" s="11">
        <v>31.803333333333331</v>
      </c>
      <c r="E44" s="11">
        <v>31.740000000000002</v>
      </c>
      <c r="F44" s="11">
        <v>29.663333333333338</v>
      </c>
      <c r="G44" s="11">
        <v>31.443333333333332</v>
      </c>
      <c r="H44" s="11">
        <v>35.299999999999997</v>
      </c>
      <c r="I44" s="11">
        <v>33.424999999999997</v>
      </c>
      <c r="J44" s="11">
        <v>28.35</v>
      </c>
      <c r="K44" s="11">
        <v>27.24</v>
      </c>
    </row>
    <row r="45" spans="1:59" x14ac:dyDescent="0.45">
      <c r="A45" s="6" t="s">
        <v>42</v>
      </c>
      <c r="B45" s="9">
        <v>10317082</v>
      </c>
      <c r="D45" s="11">
        <v>30.59</v>
      </c>
      <c r="E45" s="11">
        <v>29.886666666666667</v>
      </c>
      <c r="F45" s="11">
        <v>28.52333333333333</v>
      </c>
      <c r="G45" s="11">
        <v>30.314999999999998</v>
      </c>
      <c r="H45" s="11">
        <v>37.93</v>
      </c>
      <c r="I45" s="11">
        <v>30.206666666666667</v>
      </c>
      <c r="J45" s="11">
        <v>27.204999999999998</v>
      </c>
      <c r="K45" s="11">
        <v>26.58</v>
      </c>
    </row>
    <row r="46" spans="1:59" x14ac:dyDescent="0.45">
      <c r="A46" s="6" t="s">
        <v>43</v>
      </c>
      <c r="B46" s="9">
        <v>10539157</v>
      </c>
      <c r="D46" s="11">
        <v>28.8</v>
      </c>
      <c r="E46" s="11">
        <v>31.193333333333339</v>
      </c>
      <c r="F46" s="11">
        <v>26.563333333333333</v>
      </c>
      <c r="G46" s="11">
        <v>29.41333333333333</v>
      </c>
      <c r="H46" s="11">
        <v>33.593333333333334</v>
      </c>
      <c r="I46" s="11">
        <v>27.676666666666666</v>
      </c>
      <c r="J46" s="11">
        <v>25.463333333333335</v>
      </c>
      <c r="K46" s="11">
        <v>24.090000000000003</v>
      </c>
    </row>
    <row r="47" spans="1:59" x14ac:dyDescent="0.45">
      <c r="A47" s="6" t="s">
        <v>44</v>
      </c>
      <c r="B47" s="9">
        <v>10538239</v>
      </c>
      <c r="D47" s="11">
        <v>34</v>
      </c>
      <c r="E47" s="11">
        <v>30.316666666666666</v>
      </c>
      <c r="F47" s="11">
        <v>30.973333333333333</v>
      </c>
      <c r="G47" s="11">
        <v>31.75</v>
      </c>
      <c r="H47" s="11">
        <v>34.199999999999996</v>
      </c>
      <c r="I47" s="11">
        <v>33.145000000000003</v>
      </c>
      <c r="J47" s="11">
        <v>28.6</v>
      </c>
      <c r="K47" s="11">
        <v>27.783333333333331</v>
      </c>
    </row>
    <row r="48" spans="1:59" x14ac:dyDescent="0.45">
      <c r="AS48" s="59" t="s">
        <v>76</v>
      </c>
      <c r="AT48" s="59"/>
      <c r="AU48" s="59"/>
      <c r="AV48" s="59"/>
      <c r="AW48" s="59"/>
      <c r="AX48" s="59"/>
      <c r="AY48" s="59"/>
      <c r="BA48" s="59" t="s">
        <v>77</v>
      </c>
      <c r="BB48" s="59"/>
      <c r="BC48" s="59"/>
      <c r="BD48" s="59"/>
      <c r="BE48" s="59"/>
      <c r="BF48" s="59"/>
      <c r="BG48" s="59"/>
    </row>
    <row r="49" spans="1:59" x14ac:dyDescent="0.45">
      <c r="A49" s="59" t="s">
        <v>72</v>
      </c>
      <c r="B49" s="59"/>
      <c r="C49" s="59"/>
      <c r="D49" s="12" t="s">
        <v>46</v>
      </c>
      <c r="E49" s="14" t="s">
        <v>47</v>
      </c>
      <c r="F49" s="12" t="s">
        <v>48</v>
      </c>
      <c r="G49" s="14" t="s">
        <v>49</v>
      </c>
      <c r="H49" s="12" t="s">
        <v>50</v>
      </c>
      <c r="I49" s="14" t="s">
        <v>51</v>
      </c>
      <c r="J49" s="12" t="s">
        <v>52</v>
      </c>
      <c r="K49" s="14" t="s">
        <v>53</v>
      </c>
      <c r="M49" s="60" t="s">
        <v>66</v>
      </c>
      <c r="N49" s="60"/>
      <c r="O49" s="60"/>
      <c r="P49" s="60"/>
      <c r="Q49" s="60"/>
      <c r="R49" s="60"/>
      <c r="S49" s="60"/>
      <c r="U49" s="60" t="s">
        <v>68</v>
      </c>
      <c r="V49" s="60"/>
      <c r="W49" s="60"/>
      <c r="X49" s="60"/>
      <c r="Y49" s="60"/>
      <c r="Z49" s="60"/>
      <c r="AA49" s="60"/>
      <c r="AC49" s="61" t="s">
        <v>74</v>
      </c>
      <c r="AD49" s="61"/>
      <c r="AE49" s="61"/>
      <c r="AF49" s="61"/>
      <c r="AG49" s="61"/>
      <c r="AH49" s="61"/>
      <c r="AI49" s="61"/>
      <c r="AK49" s="61" t="s">
        <v>75</v>
      </c>
      <c r="AL49" s="61"/>
      <c r="AM49" s="61"/>
      <c r="AN49" s="61"/>
      <c r="AO49" s="61"/>
      <c r="AP49" s="61"/>
      <c r="AQ49" s="61"/>
      <c r="AS49" s="17"/>
      <c r="AT49" s="16">
        <v>449</v>
      </c>
      <c r="AU49" s="5">
        <v>2245</v>
      </c>
      <c r="AV49" s="16">
        <v>2278</v>
      </c>
      <c r="AW49" s="5">
        <v>7065</v>
      </c>
      <c r="AX49" s="16">
        <v>385</v>
      </c>
      <c r="AY49" s="5">
        <v>2249</v>
      </c>
      <c r="BA49" s="17"/>
      <c r="BB49" s="16">
        <v>449</v>
      </c>
      <c r="BC49" s="5">
        <v>2245</v>
      </c>
      <c r="BD49" s="16">
        <v>2278</v>
      </c>
      <c r="BE49" s="5">
        <v>7065</v>
      </c>
      <c r="BF49" s="16">
        <v>385</v>
      </c>
      <c r="BG49" s="5">
        <v>2249</v>
      </c>
    </row>
    <row r="50" spans="1:59" x14ac:dyDescent="0.45">
      <c r="D50" s="12">
        <v>449</v>
      </c>
      <c r="E50" s="14">
        <v>2245</v>
      </c>
      <c r="F50" s="12">
        <v>2278</v>
      </c>
      <c r="G50" s="14">
        <v>7065</v>
      </c>
      <c r="H50" s="12">
        <v>385</v>
      </c>
      <c r="I50" s="14">
        <v>2249</v>
      </c>
      <c r="J50" s="12" t="s">
        <v>55</v>
      </c>
      <c r="K50" s="14" t="s">
        <v>56</v>
      </c>
      <c r="M50" s="17" t="s">
        <v>67</v>
      </c>
      <c r="N50" s="16" t="s">
        <v>59</v>
      </c>
      <c r="O50" s="5" t="s">
        <v>60</v>
      </c>
      <c r="P50" s="16" t="s">
        <v>61</v>
      </c>
      <c r="Q50" s="5" t="s">
        <v>62</v>
      </c>
      <c r="R50" s="16" t="s">
        <v>63</v>
      </c>
      <c r="S50" s="5" t="s">
        <v>64</v>
      </c>
      <c r="U50" s="17" t="s">
        <v>67</v>
      </c>
      <c r="V50" s="16" t="s">
        <v>59</v>
      </c>
      <c r="W50" s="5" t="s">
        <v>60</v>
      </c>
      <c r="X50" s="16" t="s">
        <v>61</v>
      </c>
      <c r="Y50" s="5" t="s">
        <v>62</v>
      </c>
      <c r="Z50" s="16" t="s">
        <v>63</v>
      </c>
      <c r="AA50" s="5" t="s">
        <v>64</v>
      </c>
      <c r="AC50" s="55"/>
      <c r="AD50" s="56">
        <v>449</v>
      </c>
      <c r="AE50" s="57">
        <v>2245</v>
      </c>
      <c r="AF50" s="56">
        <v>2278</v>
      </c>
      <c r="AG50" s="57">
        <v>7065</v>
      </c>
      <c r="AH50" s="56">
        <v>385</v>
      </c>
      <c r="AI50" s="57">
        <v>2249</v>
      </c>
      <c r="AK50" s="17"/>
      <c r="AL50" s="16">
        <v>449</v>
      </c>
      <c r="AM50" s="5">
        <v>2245</v>
      </c>
      <c r="AN50" s="16">
        <v>2278</v>
      </c>
      <c r="AO50" s="5">
        <v>7065</v>
      </c>
      <c r="AP50" s="16">
        <v>385</v>
      </c>
      <c r="AQ50" s="5">
        <v>2249</v>
      </c>
      <c r="AS50" s="6"/>
      <c r="AT50" s="6" t="s">
        <v>81</v>
      </c>
      <c r="AU50" s="6" t="s">
        <v>82</v>
      </c>
      <c r="AV50" s="6" t="s">
        <v>83</v>
      </c>
      <c r="AW50" s="6" t="s">
        <v>84</v>
      </c>
      <c r="AX50" s="6" t="s">
        <v>85</v>
      </c>
      <c r="AY50" s="6" t="s">
        <v>86</v>
      </c>
      <c r="BA50" s="6"/>
      <c r="BB50" s="6" t="s">
        <v>81</v>
      </c>
      <c r="BC50" s="6" t="s">
        <v>82</v>
      </c>
      <c r="BD50" s="6" t="s">
        <v>83</v>
      </c>
      <c r="BE50" s="6" t="s">
        <v>84</v>
      </c>
      <c r="BF50" s="6" t="s">
        <v>85</v>
      </c>
      <c r="BG50" s="6" t="s">
        <v>86</v>
      </c>
    </row>
    <row r="51" spans="1:59" x14ac:dyDescent="0.45">
      <c r="A51" s="18" t="s">
        <v>78</v>
      </c>
      <c r="B51" s="21">
        <v>10536902</v>
      </c>
      <c r="C51" s="38"/>
      <c r="D51" s="22">
        <v>29.573333333333299</v>
      </c>
      <c r="E51" s="22">
        <v>23.723333333333329</v>
      </c>
      <c r="F51" s="22">
        <v>27.75</v>
      </c>
      <c r="G51" s="22">
        <v>29.085000000000001</v>
      </c>
      <c r="H51" s="22">
        <v>31.509999999999998</v>
      </c>
      <c r="I51" s="22">
        <v>28.766666666666669</v>
      </c>
      <c r="J51" s="22">
        <v>25.564999999999998</v>
      </c>
      <c r="K51" s="24">
        <v>27.27333333333333</v>
      </c>
      <c r="L51" s="23"/>
      <c r="M51" s="25"/>
      <c r="N51" s="18">
        <f t="shared" ref="N51:N94" si="0">D51-J51</f>
        <v>4.0083333333333009</v>
      </c>
      <c r="O51" s="18">
        <f t="shared" ref="O51:O95" si="1">E51-J51</f>
        <v>-1.8416666666666686</v>
      </c>
      <c r="P51" s="18">
        <f t="shared" ref="P51:P95" si="2">F51-J51</f>
        <v>2.1850000000000023</v>
      </c>
      <c r="Q51" s="18">
        <f t="shared" ref="Q51:Q95" si="3">G51-J51</f>
        <v>3.5200000000000031</v>
      </c>
      <c r="R51" s="18">
        <f t="shared" ref="R51:R95" si="4">H51-J51</f>
        <v>5.9450000000000003</v>
      </c>
      <c r="S51" s="26">
        <f t="shared" ref="S51:S94" si="5">I51-J51</f>
        <v>3.2016666666666715</v>
      </c>
      <c r="T51" s="23"/>
      <c r="U51" s="25"/>
      <c r="V51" s="18">
        <f>D51-K51</f>
        <v>2.2999999999999687</v>
      </c>
      <c r="W51" s="18">
        <f t="shared" ref="W51:W95" si="6">E51-K51</f>
        <v>-3.5500000000000007</v>
      </c>
      <c r="X51" s="18">
        <f t="shared" ref="X51:X95" si="7">F51-K51</f>
        <v>0.47666666666667012</v>
      </c>
      <c r="Y51" s="18">
        <f t="shared" ref="Y51:Y95" si="8">G51-K51</f>
        <v>1.811666666666671</v>
      </c>
      <c r="Z51" s="18">
        <f t="shared" ref="Z51:Z95" si="9">H51-K51</f>
        <v>4.2366666666666681</v>
      </c>
      <c r="AA51" s="26">
        <f t="shared" ref="AA51:AA95" si="10">I51-K51</f>
        <v>1.4933333333333394</v>
      </c>
      <c r="AB51" s="23"/>
      <c r="AC51" s="25"/>
      <c r="AD51" s="18">
        <f>N51-$N$96</f>
        <v>0.27411111111107767</v>
      </c>
      <c r="AE51" s="18">
        <f>O51-$O$96</f>
        <v>-5.8147777777777794</v>
      </c>
      <c r="AF51" s="18">
        <f>P51-$P$96</f>
        <v>-0.28255555555555345</v>
      </c>
      <c r="AG51" s="18">
        <f>Q51-$Q$96</f>
        <v>-1.0747777777777756</v>
      </c>
      <c r="AH51" s="18">
        <f>R51-$R$96</f>
        <v>-1.8395238095238096</v>
      </c>
      <c r="AI51" s="26">
        <f>S51-$S$96</f>
        <v>-1.1175555555555503</v>
      </c>
      <c r="AJ51" s="23"/>
      <c r="AK51" s="25"/>
      <c r="AL51" s="18">
        <f>V51-$V$96</f>
        <v>-2.2596666666666989</v>
      </c>
      <c r="AM51" s="18">
        <f>W51-$W$96</f>
        <v>-8.3485555555555564</v>
      </c>
      <c r="AN51" s="18">
        <f>X51-$X$96</f>
        <v>-2.8163333333333305</v>
      </c>
      <c r="AO51" s="18">
        <f>Y51-$Y$96</f>
        <v>-3.6085555555555517</v>
      </c>
      <c r="AP51" s="18">
        <f>Z51-$Z$96</f>
        <v>-4.3324358974358983</v>
      </c>
      <c r="AQ51" s="18">
        <f>AA51-$AA$96</f>
        <v>-3.6513333333333273</v>
      </c>
      <c r="AR51" s="23"/>
      <c r="AS51" s="18"/>
      <c r="AT51" s="18">
        <f>2^-AD51</f>
        <v>0.82695967657196379</v>
      </c>
      <c r="AU51" s="18">
        <f t="shared" ref="AU51:AY66" si="11">2^-AE51</f>
        <v>56.288869864257293</v>
      </c>
      <c r="AV51" s="18">
        <f>2^-AF51</f>
        <v>1.2163475862876016</v>
      </c>
      <c r="AW51" s="18">
        <f t="shared" si="11"/>
        <v>2.1063975927973151</v>
      </c>
      <c r="AX51" s="18">
        <f t="shared" si="11"/>
        <v>3.5789187947012411</v>
      </c>
      <c r="AY51" s="18">
        <f t="shared" si="11"/>
        <v>2.1697902034754031</v>
      </c>
      <c r="AZ51" s="23"/>
      <c r="BA51" s="18"/>
      <c r="BB51" s="18">
        <f t="shared" ref="BB51:BG51" si="12">2^-AL51</f>
        <v>4.788808241000404</v>
      </c>
      <c r="BC51" s="18">
        <f t="shared" si="12"/>
        <v>325.96100090389029</v>
      </c>
      <c r="BD51" s="18">
        <f t="shared" si="12"/>
        <v>7.0436993606279268</v>
      </c>
      <c r="BE51" s="18">
        <f t="shared" si="12"/>
        <v>12.197854909958709</v>
      </c>
      <c r="BF51" s="18">
        <f t="shared" si="12"/>
        <v>20.14620085146182</v>
      </c>
      <c r="BG51" s="18">
        <f t="shared" si="12"/>
        <v>12.564952683930212</v>
      </c>
    </row>
    <row r="52" spans="1:59" x14ac:dyDescent="0.45">
      <c r="A52" s="18" t="s">
        <v>78</v>
      </c>
      <c r="B52" s="21">
        <v>10537010</v>
      </c>
      <c r="C52" s="38"/>
      <c r="D52" s="22">
        <v>27.55</v>
      </c>
      <c r="E52" s="22">
        <v>25.58666666666667</v>
      </c>
      <c r="F52" s="22">
        <v>25.11</v>
      </c>
      <c r="G52" s="22">
        <v>28.393333333333331</v>
      </c>
      <c r="H52" s="22">
        <v>31.806666666666668</v>
      </c>
      <c r="I52" s="22">
        <v>26.056666666666668</v>
      </c>
      <c r="J52" s="22">
        <v>25.89</v>
      </c>
      <c r="K52" s="24">
        <v>24.856666666666666</v>
      </c>
      <c r="L52" s="23"/>
      <c r="M52" s="25"/>
      <c r="N52" s="18">
        <f>D52-J52</f>
        <v>1.6600000000000001</v>
      </c>
      <c r="O52" s="18">
        <f t="shared" si="1"/>
        <v>-0.30333333333333101</v>
      </c>
      <c r="P52" s="18">
        <f t="shared" si="2"/>
        <v>-0.78000000000000114</v>
      </c>
      <c r="Q52" s="18">
        <f t="shared" si="3"/>
        <v>2.5033333333333303</v>
      </c>
      <c r="R52" s="18">
        <f t="shared" si="4"/>
        <v>5.9166666666666679</v>
      </c>
      <c r="S52" s="26">
        <f t="shared" si="5"/>
        <v>0.16666666666666785</v>
      </c>
      <c r="T52" s="23"/>
      <c r="U52" s="25"/>
      <c r="V52" s="18">
        <f t="shared" ref="V52:V94" si="13">D52-K52</f>
        <v>2.6933333333333351</v>
      </c>
      <c r="W52" s="18">
        <f t="shared" si="6"/>
        <v>0.73000000000000398</v>
      </c>
      <c r="X52" s="18">
        <f t="shared" si="7"/>
        <v>0.25333333333333385</v>
      </c>
      <c r="Y52" s="18">
        <f t="shared" si="8"/>
        <v>3.5366666666666653</v>
      </c>
      <c r="Z52" s="18">
        <f t="shared" si="9"/>
        <v>6.9500000000000028</v>
      </c>
      <c r="AA52" s="26">
        <f t="shared" si="10"/>
        <v>1.2000000000000028</v>
      </c>
      <c r="AB52" s="23"/>
      <c r="AC52" s="25"/>
      <c r="AD52" s="18">
        <f>N52-$N$96</f>
        <v>-2.0742222222222231</v>
      </c>
      <c r="AE52" s="18">
        <f t="shared" ref="AE52:AE94" si="14">O52-$O$96</f>
        <v>-4.2764444444444418</v>
      </c>
      <c r="AF52" s="18">
        <f t="shared" ref="AF52:AF96" si="15">P52-$P$96</f>
        <v>-3.2475555555555569</v>
      </c>
      <c r="AG52" s="18">
        <f t="shared" ref="AG52:AG96" si="16">Q52-$Q$96</f>
        <v>-2.0914444444444484</v>
      </c>
      <c r="AH52" s="18">
        <f t="shared" ref="AH52:AH96" si="17">R52-$R$96</f>
        <v>-1.867857142857142</v>
      </c>
      <c r="AI52" s="26">
        <f t="shared" ref="AI52:AI95" si="18">S52-$S$96</f>
        <v>-4.152555555555554</v>
      </c>
      <c r="AJ52" s="23"/>
      <c r="AK52" s="25"/>
      <c r="AL52" s="18">
        <f t="shared" ref="AL52:AL96" si="19">V52-$V$96</f>
        <v>-1.8663333333333325</v>
      </c>
      <c r="AM52" s="18">
        <f t="shared" ref="AM52:AM96" si="20">W52-$W$96</f>
        <v>-4.0685555555555508</v>
      </c>
      <c r="AN52" s="18">
        <f t="shared" ref="AN52:AN96" si="21">X52-$X$96</f>
        <v>-3.0396666666666667</v>
      </c>
      <c r="AO52" s="18">
        <f t="shared" ref="AO52:AO96" si="22">Y52-$Y$96</f>
        <v>-1.8835555555555574</v>
      </c>
      <c r="AP52" s="18">
        <f t="shared" ref="AP52:AP96" si="23">Z52-$Z$96</f>
        <v>-1.6191025641025636</v>
      </c>
      <c r="AQ52" s="18">
        <f t="shared" ref="AQ52:AQ96" si="24">AA52-$AA$96</f>
        <v>-3.9446666666666639</v>
      </c>
      <c r="AR52" s="23"/>
      <c r="AS52" s="18"/>
      <c r="AT52" s="18">
        <f>2^-AD52</f>
        <v>4.2111732272939824</v>
      </c>
      <c r="AU52" s="18">
        <f t="shared" si="11"/>
        <v>19.379298515325935</v>
      </c>
      <c r="AV52" s="18">
        <f t="shared" ref="AV52:AY96" si="25">2^-AF52</f>
        <v>9.4975510108816099</v>
      </c>
      <c r="AW52" s="18">
        <f t="shared" si="11"/>
        <v>4.2617455077578921</v>
      </c>
      <c r="AX52" s="18">
        <f t="shared" si="11"/>
        <v>3.6499005193858021</v>
      </c>
      <c r="AY52" s="18">
        <f t="shared" si="11"/>
        <v>17.784586860163682</v>
      </c>
      <c r="AZ52" s="23"/>
      <c r="BA52" s="18"/>
      <c r="BB52" s="18">
        <f t="shared" ref="BB52:BB96" si="26">2^-AL52</f>
        <v>3.6460474410710204</v>
      </c>
      <c r="BC52" s="18">
        <f t="shared" ref="BC52:BC96" si="27">2^-AM52</f>
        <v>16.778659520249395</v>
      </c>
      <c r="BD52" s="18">
        <f t="shared" ref="BD52:BD96" si="28">2^-AN52</f>
        <v>8.2230104749022654</v>
      </c>
      <c r="BE52" s="18">
        <f t="shared" ref="BE52:BE96" si="29">2^-AO52</f>
        <v>3.6898330855511556</v>
      </c>
      <c r="BF52" s="18">
        <f t="shared" ref="BF52:BF96" si="30">2^-AP52</f>
        <v>3.0718389148707508</v>
      </c>
      <c r="BG52" s="18">
        <f t="shared" ref="BG52:BG96" si="31">2^-AQ52</f>
        <v>15.3979529960282</v>
      </c>
    </row>
    <row r="53" spans="1:59" x14ac:dyDescent="0.45">
      <c r="A53" s="18" t="s">
        <v>78</v>
      </c>
      <c r="B53" s="21">
        <v>10538239</v>
      </c>
      <c r="C53" s="38"/>
      <c r="D53" s="22">
        <v>34</v>
      </c>
      <c r="E53" s="22">
        <v>30.316666666666666</v>
      </c>
      <c r="F53" s="22">
        <v>30.973333333333333</v>
      </c>
      <c r="G53" s="22">
        <v>31.75</v>
      </c>
      <c r="H53" s="22">
        <v>34.199999999999996</v>
      </c>
      <c r="I53" s="22">
        <v>33.145000000000003</v>
      </c>
      <c r="J53" s="22">
        <v>28.6</v>
      </c>
      <c r="K53" s="24">
        <v>27.783333333333331</v>
      </c>
      <c r="L53" s="23"/>
      <c r="M53" s="25"/>
      <c r="N53" s="18">
        <f t="shared" si="0"/>
        <v>5.3999999999999986</v>
      </c>
      <c r="O53" s="18">
        <f t="shared" si="1"/>
        <v>1.716666666666665</v>
      </c>
      <c r="P53" s="18">
        <f t="shared" si="2"/>
        <v>2.3733333333333313</v>
      </c>
      <c r="Q53" s="18">
        <f t="shared" si="3"/>
        <v>3.1499999999999986</v>
      </c>
      <c r="R53" s="18">
        <f t="shared" si="4"/>
        <v>5.5999999999999943</v>
      </c>
      <c r="S53" s="26">
        <f t="shared" si="5"/>
        <v>4.5450000000000017</v>
      </c>
      <c r="T53" s="23"/>
      <c r="U53" s="25"/>
      <c r="V53" s="18">
        <f t="shared" si="13"/>
        <v>6.2166666666666686</v>
      </c>
      <c r="W53" s="18">
        <f t="shared" si="6"/>
        <v>2.533333333333335</v>
      </c>
      <c r="X53" s="18">
        <f t="shared" si="7"/>
        <v>3.1900000000000013</v>
      </c>
      <c r="Y53" s="18">
        <f t="shared" si="8"/>
        <v>3.9666666666666686</v>
      </c>
      <c r="Z53" s="18">
        <f t="shared" si="9"/>
        <v>6.4166666666666643</v>
      </c>
      <c r="AA53" s="26">
        <f t="shared" si="10"/>
        <v>5.3616666666666717</v>
      </c>
      <c r="AB53" s="23"/>
      <c r="AC53" s="25"/>
      <c r="AD53" s="18">
        <f>N53-$N$96</f>
        <v>1.6657777777777754</v>
      </c>
      <c r="AE53" s="18">
        <f t="shared" si="14"/>
        <v>-2.2564444444444458</v>
      </c>
      <c r="AF53" s="18">
        <f t="shared" si="15"/>
        <v>-9.4222222222224428E-2</v>
      </c>
      <c r="AG53" s="18">
        <f t="shared" si="16"/>
        <v>-1.4447777777777802</v>
      </c>
      <c r="AH53" s="18">
        <f t="shared" si="17"/>
        <v>-2.1845238095238155</v>
      </c>
      <c r="AI53" s="26">
        <f t="shared" si="18"/>
        <v>0.22577777777777985</v>
      </c>
      <c r="AJ53" s="23"/>
      <c r="AK53" s="25"/>
      <c r="AL53" s="18">
        <f t="shared" si="19"/>
        <v>1.6570000000000009</v>
      </c>
      <c r="AM53" s="18">
        <f t="shared" si="20"/>
        <v>-2.2652222222222198</v>
      </c>
      <c r="AN53" s="18">
        <f t="shared" si="21"/>
        <v>-0.10299999999999931</v>
      </c>
      <c r="AO53" s="18">
        <f t="shared" si="22"/>
        <v>-1.4535555555555542</v>
      </c>
      <c r="AP53" s="18">
        <f t="shared" si="23"/>
        <v>-2.1524358974359021</v>
      </c>
      <c r="AQ53" s="18">
        <f t="shared" si="24"/>
        <v>0.21700000000000497</v>
      </c>
      <c r="AR53" s="23"/>
      <c r="AS53" s="18"/>
      <c r="AT53" s="18">
        <f t="shared" ref="AT53:AU96" si="32">2^-AD53</f>
        <v>0.31517439132161984</v>
      </c>
      <c r="AU53" s="18">
        <f t="shared" si="11"/>
        <v>4.7781244964885232</v>
      </c>
      <c r="AV53" s="18">
        <f t="shared" si="25"/>
        <v>1.0674897537131771</v>
      </c>
      <c r="AW53" s="18">
        <f t="shared" si="11"/>
        <v>2.7222088914996188</v>
      </c>
      <c r="AX53" s="18">
        <f t="shared" si="11"/>
        <v>4.5457672235163411</v>
      </c>
      <c r="AY53" s="18">
        <f t="shared" si="11"/>
        <v>0.85513388633518805</v>
      </c>
      <c r="AZ53" s="23"/>
      <c r="BA53" s="18"/>
      <c r="BB53" s="18">
        <f t="shared" si="26"/>
        <v>0.3170978498314666</v>
      </c>
      <c r="BC53" s="18">
        <f t="shared" si="27"/>
        <v>4.8072846201436814</v>
      </c>
      <c r="BD53" s="18">
        <f t="shared" si="28"/>
        <v>1.0740044716201238</v>
      </c>
      <c r="BE53" s="18">
        <f t="shared" si="29"/>
        <v>2.7388220935937957</v>
      </c>
      <c r="BF53" s="18">
        <f t="shared" si="30"/>
        <v>4.4457779638646855</v>
      </c>
      <c r="BG53" s="18">
        <f t="shared" si="31"/>
        <v>0.86035263061143674</v>
      </c>
    </row>
    <row r="54" spans="1:59" x14ac:dyDescent="0.45">
      <c r="A54" s="18" t="s">
        <v>78</v>
      </c>
      <c r="B54" s="21">
        <v>10511642</v>
      </c>
      <c r="C54" s="38"/>
      <c r="D54" s="22">
        <v>25.840000000000003</v>
      </c>
      <c r="E54" s="22">
        <v>29.993333333333336</v>
      </c>
      <c r="F54" s="22">
        <v>25.066666666666666</v>
      </c>
      <c r="G54" s="22">
        <v>27.176666666666666</v>
      </c>
      <c r="H54" s="22">
        <v>30.403333333333336</v>
      </c>
      <c r="I54" s="22">
        <v>26.986666666666668</v>
      </c>
      <c r="J54" s="22">
        <v>25.7</v>
      </c>
      <c r="K54" s="24">
        <v>24.650000000000002</v>
      </c>
      <c r="L54" s="23"/>
      <c r="M54" s="25"/>
      <c r="N54" s="18">
        <f t="shared" si="0"/>
        <v>0.14000000000000412</v>
      </c>
      <c r="O54" s="18">
        <f t="shared" si="1"/>
        <v>4.2933333333333366</v>
      </c>
      <c r="P54" s="18">
        <f t="shared" si="2"/>
        <v>-0.63333333333333286</v>
      </c>
      <c r="Q54" s="18">
        <f t="shared" si="3"/>
        <v>1.4766666666666666</v>
      </c>
      <c r="R54" s="18">
        <f t="shared" si="4"/>
        <v>4.7033333333333367</v>
      </c>
      <c r="S54" s="26">
        <f t="shared" si="5"/>
        <v>1.2866666666666688</v>
      </c>
      <c r="T54" s="23"/>
      <c r="U54" s="25"/>
      <c r="V54" s="18">
        <f t="shared" si="13"/>
        <v>1.1900000000000013</v>
      </c>
      <c r="W54" s="18">
        <f t="shared" si="6"/>
        <v>5.3433333333333337</v>
      </c>
      <c r="X54" s="18">
        <f t="shared" si="7"/>
        <v>0.4166666666666643</v>
      </c>
      <c r="Y54" s="18">
        <f t="shared" si="8"/>
        <v>2.5266666666666637</v>
      </c>
      <c r="Z54" s="18">
        <f t="shared" si="9"/>
        <v>5.7533333333333339</v>
      </c>
      <c r="AA54" s="26">
        <f t="shared" si="10"/>
        <v>2.336666666666666</v>
      </c>
      <c r="AB54" s="23"/>
      <c r="AC54" s="25"/>
      <c r="AD54" s="18">
        <f>N54-$N$96</f>
        <v>-3.5942222222222191</v>
      </c>
      <c r="AE54" s="18">
        <f t="shared" si="14"/>
        <v>0.32022222222222574</v>
      </c>
      <c r="AF54" s="18">
        <f t="shared" si="15"/>
        <v>-3.1008888888888886</v>
      </c>
      <c r="AG54" s="18">
        <f t="shared" si="16"/>
        <v>-3.1181111111111122</v>
      </c>
      <c r="AH54" s="18">
        <f t="shared" si="17"/>
        <v>-3.0811904761904731</v>
      </c>
      <c r="AI54" s="26">
        <f t="shared" si="18"/>
        <v>-3.032555555555553</v>
      </c>
      <c r="AJ54" s="23"/>
      <c r="AK54" s="25"/>
      <c r="AL54" s="18">
        <f t="shared" si="19"/>
        <v>-3.3696666666666664</v>
      </c>
      <c r="AM54" s="18">
        <f t="shared" si="20"/>
        <v>0.54477777777777892</v>
      </c>
      <c r="AN54" s="18">
        <f t="shared" si="21"/>
        <v>-2.8763333333333363</v>
      </c>
      <c r="AO54" s="18">
        <f t="shared" si="22"/>
        <v>-2.893555555555559</v>
      </c>
      <c r="AP54" s="18">
        <f t="shared" si="23"/>
        <v>-2.8157692307692326</v>
      </c>
      <c r="AQ54" s="18">
        <f t="shared" si="24"/>
        <v>-2.8080000000000007</v>
      </c>
      <c r="AR54" s="23"/>
      <c r="AS54" s="18"/>
      <c r="AT54" s="18">
        <f t="shared" si="32"/>
        <v>12.077267899163877</v>
      </c>
      <c r="AU54" s="18">
        <f t="shared" si="11"/>
        <v>0.80094649613068014</v>
      </c>
      <c r="AV54" s="18">
        <f t="shared" si="25"/>
        <v>8.5794721494392245</v>
      </c>
      <c r="AW54" s="18">
        <f t="shared" si="11"/>
        <v>8.6825036440739183</v>
      </c>
      <c r="AX54" s="18">
        <f t="shared" si="11"/>
        <v>8.4631250049477984</v>
      </c>
      <c r="AY54" s="18">
        <f t="shared" si="11"/>
        <v>8.1825786000940148</v>
      </c>
      <c r="AZ54" s="23"/>
      <c r="BA54" s="18"/>
      <c r="BB54" s="18">
        <f t="shared" si="26"/>
        <v>10.336434145785235</v>
      </c>
      <c r="BC54" s="18">
        <f t="shared" si="27"/>
        <v>0.68549698331402931</v>
      </c>
      <c r="BD54" s="18">
        <f t="shared" si="28"/>
        <v>7.3428154131131418</v>
      </c>
      <c r="BE54" s="18">
        <f t="shared" si="29"/>
        <v>7.4309958085572951</v>
      </c>
      <c r="BF54" s="18">
        <f t="shared" si="30"/>
        <v>7.040945769568852</v>
      </c>
      <c r="BG54" s="18">
        <f t="shared" si="31"/>
        <v>7.0031306375541149</v>
      </c>
    </row>
    <row r="55" spans="1:59" x14ac:dyDescent="0.45">
      <c r="A55" s="18" t="s">
        <v>78</v>
      </c>
      <c r="B55" s="21">
        <v>10538146</v>
      </c>
      <c r="C55" s="38"/>
      <c r="D55" s="22">
        <v>29.323333333333334</v>
      </c>
      <c r="E55" s="22">
        <v>30.976666666666663</v>
      </c>
      <c r="F55" s="22">
        <v>25.733333333333334</v>
      </c>
      <c r="G55" s="22">
        <v>29.176666666666666</v>
      </c>
      <c r="H55" s="22">
        <v>34.4</v>
      </c>
      <c r="I55" s="22">
        <v>27.463333333333335</v>
      </c>
      <c r="J55" s="22">
        <v>26.97</v>
      </c>
      <c r="K55" s="24">
        <v>25.535</v>
      </c>
      <c r="L55" s="23"/>
      <c r="M55" s="25"/>
      <c r="N55" s="18">
        <f t="shared" si="0"/>
        <v>2.3533333333333353</v>
      </c>
      <c r="O55" s="18">
        <f t="shared" si="1"/>
        <v>4.0066666666666642</v>
      </c>
      <c r="P55" s="18">
        <f t="shared" si="2"/>
        <v>-1.2366666666666646</v>
      </c>
      <c r="Q55" s="18">
        <f t="shared" si="3"/>
        <v>2.206666666666667</v>
      </c>
      <c r="R55" s="18">
        <f t="shared" si="4"/>
        <v>7.43</v>
      </c>
      <c r="S55" s="26">
        <f t="shared" si="5"/>
        <v>0.49333333333333584</v>
      </c>
      <c r="T55" s="23"/>
      <c r="U55" s="25"/>
      <c r="V55" s="18">
        <f t="shared" si="13"/>
        <v>3.788333333333334</v>
      </c>
      <c r="W55" s="18">
        <f t="shared" si="6"/>
        <v>5.4416666666666629</v>
      </c>
      <c r="X55" s="18">
        <f t="shared" si="7"/>
        <v>0.19833333333333414</v>
      </c>
      <c r="Y55" s="18">
        <f t="shared" si="8"/>
        <v>3.6416666666666657</v>
      </c>
      <c r="Z55" s="18">
        <f t="shared" si="9"/>
        <v>8.8649999999999984</v>
      </c>
      <c r="AA55" s="26">
        <f t="shared" si="10"/>
        <v>1.9283333333333346</v>
      </c>
      <c r="AB55" s="23"/>
      <c r="AC55" s="25"/>
      <c r="AD55" s="18">
        <f t="shared" ref="AD55:AD96" si="33">N55-$N$96</f>
        <v>-1.3808888888888879</v>
      </c>
      <c r="AE55" s="18">
        <f t="shared" si="14"/>
        <v>3.355555555555334E-2</v>
      </c>
      <c r="AF55" s="18">
        <f t="shared" si="15"/>
        <v>-3.7042222222222203</v>
      </c>
      <c r="AG55" s="18">
        <f t="shared" si="16"/>
        <v>-2.3881111111111117</v>
      </c>
      <c r="AH55" s="18">
        <f t="shared" si="17"/>
        <v>-0.35452380952381013</v>
      </c>
      <c r="AI55" s="26">
        <f t="shared" si="18"/>
        <v>-3.825888888888886</v>
      </c>
      <c r="AJ55" s="23"/>
      <c r="AK55" s="25"/>
      <c r="AL55" s="18">
        <f t="shared" si="19"/>
        <v>-0.77133333333333365</v>
      </c>
      <c r="AM55" s="18">
        <f t="shared" si="20"/>
        <v>0.64311111111110808</v>
      </c>
      <c r="AN55" s="18">
        <f t="shared" si="21"/>
        <v>-3.0946666666666665</v>
      </c>
      <c r="AO55" s="18">
        <f t="shared" si="22"/>
        <v>-1.778555555555557</v>
      </c>
      <c r="AP55" s="18">
        <f t="shared" si="23"/>
        <v>0.295897435897432</v>
      </c>
      <c r="AQ55" s="18">
        <f t="shared" si="24"/>
        <v>-3.2163333333333322</v>
      </c>
      <c r="AR55" s="23"/>
      <c r="AS55" s="18"/>
      <c r="AT55" s="18">
        <f t="shared" si="32"/>
        <v>2.6042877986647204</v>
      </c>
      <c r="AU55" s="18">
        <f t="shared" si="11"/>
        <v>0.97700946543083167</v>
      </c>
      <c r="AV55" s="18">
        <f t="shared" si="25"/>
        <v>13.034128536606168</v>
      </c>
      <c r="AW55" s="18">
        <f t="shared" si="11"/>
        <v>5.234715428988939</v>
      </c>
      <c r="AX55" s="18">
        <f t="shared" si="11"/>
        <v>1.2785634960593328</v>
      </c>
      <c r="AY55" s="18">
        <f t="shared" si="11"/>
        <v>14.181014974998471</v>
      </c>
      <c r="AZ55" s="23"/>
      <c r="BA55" s="18"/>
      <c r="BB55" s="18">
        <f t="shared" si="26"/>
        <v>1.7068465159521733</v>
      </c>
      <c r="BC55" s="18">
        <f t="shared" si="27"/>
        <v>0.6403306128370031</v>
      </c>
      <c r="BD55" s="18">
        <f t="shared" si="28"/>
        <v>8.5425492883642669</v>
      </c>
      <c r="BE55" s="18">
        <f t="shared" si="29"/>
        <v>3.4308250403630374</v>
      </c>
      <c r="BF55" s="18">
        <f t="shared" si="30"/>
        <v>0.8145654701153151</v>
      </c>
      <c r="BG55" s="18">
        <f t="shared" si="31"/>
        <v>9.2942170274545379</v>
      </c>
    </row>
    <row r="56" spans="1:59" x14ac:dyDescent="0.45">
      <c r="A56" s="18" t="s">
        <v>78</v>
      </c>
      <c r="B56" s="21">
        <v>10539285</v>
      </c>
      <c r="C56" s="38"/>
      <c r="D56" s="22">
        <v>31.083333333333332</v>
      </c>
      <c r="E56" s="22">
        <v>32.585000000000001</v>
      </c>
      <c r="F56" s="22">
        <v>31.34</v>
      </c>
      <c r="G56" s="22">
        <v>34.06</v>
      </c>
      <c r="H56" s="22">
        <v>33.943333333333335</v>
      </c>
      <c r="I56" s="22">
        <v>32.635000000000005</v>
      </c>
      <c r="J56" s="22">
        <v>28.526666666666667</v>
      </c>
      <c r="K56" s="24">
        <v>27.820000000000004</v>
      </c>
      <c r="L56" s="23"/>
      <c r="M56" s="25"/>
      <c r="N56" s="18">
        <f t="shared" si="0"/>
        <v>2.5566666666666649</v>
      </c>
      <c r="O56" s="18">
        <f t="shared" si="1"/>
        <v>4.0583333333333336</v>
      </c>
      <c r="P56" s="18">
        <f t="shared" si="2"/>
        <v>2.8133333333333326</v>
      </c>
      <c r="Q56" s="18">
        <f t="shared" si="3"/>
        <v>5.533333333333335</v>
      </c>
      <c r="R56" s="18">
        <f t="shared" si="4"/>
        <v>5.4166666666666679</v>
      </c>
      <c r="S56" s="26">
        <f t="shared" si="5"/>
        <v>4.1083333333333378</v>
      </c>
      <c r="T56" s="23"/>
      <c r="U56" s="25"/>
      <c r="V56" s="18">
        <f t="shared" si="13"/>
        <v>3.2633333333333283</v>
      </c>
      <c r="W56" s="18">
        <f t="shared" si="6"/>
        <v>4.764999999999997</v>
      </c>
      <c r="X56" s="18">
        <f t="shared" si="7"/>
        <v>3.519999999999996</v>
      </c>
      <c r="Y56" s="18">
        <f t="shared" si="8"/>
        <v>6.2399999999999984</v>
      </c>
      <c r="Z56" s="18">
        <f t="shared" si="9"/>
        <v>6.1233333333333313</v>
      </c>
      <c r="AA56" s="26">
        <f t="shared" si="10"/>
        <v>4.8150000000000013</v>
      </c>
      <c r="AB56" s="23"/>
      <c r="AC56" s="25"/>
      <c r="AD56" s="18">
        <f t="shared" si="33"/>
        <v>-1.1775555555555584</v>
      </c>
      <c r="AE56" s="18">
        <f t="shared" si="14"/>
        <v>8.5222222222222754E-2</v>
      </c>
      <c r="AF56" s="18">
        <f t="shared" si="15"/>
        <v>0.34577777777777685</v>
      </c>
      <c r="AG56" s="18">
        <f t="shared" si="16"/>
        <v>0.93855555555555625</v>
      </c>
      <c r="AH56" s="18">
        <f t="shared" si="17"/>
        <v>-2.367857142857142</v>
      </c>
      <c r="AI56" s="26">
        <f t="shared" si="18"/>
        <v>-0.21088888888888402</v>
      </c>
      <c r="AJ56" s="23"/>
      <c r="AK56" s="25"/>
      <c r="AL56" s="18">
        <f t="shared" si="19"/>
        <v>-1.2963333333333393</v>
      </c>
      <c r="AM56" s="18">
        <f t="shared" si="20"/>
        <v>-3.3555555555557781E-2</v>
      </c>
      <c r="AN56" s="18">
        <f t="shared" si="21"/>
        <v>0.22699999999999543</v>
      </c>
      <c r="AO56" s="18">
        <f t="shared" si="22"/>
        <v>0.81977777777777572</v>
      </c>
      <c r="AP56" s="18">
        <f t="shared" si="23"/>
        <v>-2.4457692307692351</v>
      </c>
      <c r="AQ56" s="18">
        <f t="shared" si="24"/>
        <v>-0.32966666666666544</v>
      </c>
      <c r="AR56" s="23"/>
      <c r="AS56" s="18"/>
      <c r="AT56" s="18">
        <f t="shared" si="32"/>
        <v>2.2619319953316102</v>
      </c>
      <c r="AU56" s="18">
        <f t="shared" si="11"/>
        <v>0.94263932744796486</v>
      </c>
      <c r="AV56" s="18">
        <f t="shared" si="25"/>
        <v>0.78688364183649739</v>
      </c>
      <c r="AW56" s="18">
        <f t="shared" si="11"/>
        <v>0.52175500668099628</v>
      </c>
      <c r="AX56" s="18">
        <f t="shared" si="11"/>
        <v>5.161738815828004</v>
      </c>
      <c r="AY56" s="18">
        <f t="shared" si="11"/>
        <v>1.1574010747472643</v>
      </c>
      <c r="AZ56" s="23"/>
      <c r="BA56" s="18"/>
      <c r="BB56" s="18">
        <f t="shared" si="26"/>
        <v>2.456038767728066</v>
      </c>
      <c r="BC56" s="18">
        <f t="shared" si="27"/>
        <v>1.0235315371883662</v>
      </c>
      <c r="BD56" s="18">
        <f t="shared" si="28"/>
        <v>0.85440974088973587</v>
      </c>
      <c r="BE56" s="18">
        <f t="shared" si="29"/>
        <v>0.56652919995363316</v>
      </c>
      <c r="BF56" s="18">
        <f t="shared" si="30"/>
        <v>5.4481605972075791</v>
      </c>
      <c r="BG56" s="18">
        <f t="shared" si="31"/>
        <v>1.2567229763124106</v>
      </c>
    </row>
    <row r="57" spans="1:59" x14ac:dyDescent="0.45">
      <c r="A57" s="18" t="s">
        <v>78</v>
      </c>
      <c r="B57" s="21">
        <v>10341251</v>
      </c>
      <c r="C57" s="38"/>
      <c r="D57" s="22">
        <v>26.893333333333334</v>
      </c>
      <c r="E57" s="22">
        <v>30.593333333333334</v>
      </c>
      <c r="F57" s="22">
        <v>23.033333333333331</v>
      </c>
      <c r="G57" s="22">
        <v>27.506666666666664</v>
      </c>
      <c r="H57" s="22">
        <v>30.865000000000002</v>
      </c>
      <c r="I57" s="22">
        <v>25.276666666666667</v>
      </c>
      <c r="J57" s="22">
        <v>25.72</v>
      </c>
      <c r="K57" s="24">
        <v>25.443333333333332</v>
      </c>
      <c r="L57" s="23"/>
      <c r="M57" s="25"/>
      <c r="N57" s="18">
        <f t="shared" si="0"/>
        <v>1.1733333333333356</v>
      </c>
      <c r="O57" s="18">
        <f t="shared" si="1"/>
        <v>4.8733333333333348</v>
      </c>
      <c r="P57" s="18">
        <f t="shared" si="2"/>
        <v>-2.6866666666666674</v>
      </c>
      <c r="Q57" s="18">
        <f t="shared" si="3"/>
        <v>1.7866666666666653</v>
      </c>
      <c r="R57" s="18">
        <f t="shared" si="4"/>
        <v>5.1450000000000031</v>
      </c>
      <c r="S57" s="26">
        <f t="shared" si="5"/>
        <v>-0.44333333333333158</v>
      </c>
      <c r="T57" s="23"/>
      <c r="U57" s="25"/>
      <c r="V57" s="18">
        <f t="shared" si="13"/>
        <v>1.4500000000000028</v>
      </c>
      <c r="W57" s="18">
        <f t="shared" si="6"/>
        <v>5.1500000000000021</v>
      </c>
      <c r="X57" s="18">
        <f t="shared" si="7"/>
        <v>-2.41</v>
      </c>
      <c r="Y57" s="18">
        <f t="shared" si="8"/>
        <v>2.0633333333333326</v>
      </c>
      <c r="Z57" s="18">
        <f t="shared" si="9"/>
        <v>5.4216666666666704</v>
      </c>
      <c r="AA57" s="26">
        <f t="shared" si="10"/>
        <v>-0.1666666666666643</v>
      </c>
      <c r="AB57" s="23"/>
      <c r="AC57" s="25"/>
      <c r="AD57" s="18">
        <f t="shared" si="33"/>
        <v>-2.5608888888888877</v>
      </c>
      <c r="AE57" s="18">
        <f t="shared" si="14"/>
        <v>0.90022222222222403</v>
      </c>
      <c r="AF57" s="18">
        <f t="shared" si="15"/>
        <v>-5.1542222222222236</v>
      </c>
      <c r="AG57" s="18">
        <f t="shared" si="16"/>
        <v>-2.8081111111111134</v>
      </c>
      <c r="AH57" s="18">
        <f t="shared" si="17"/>
        <v>-2.6395238095238067</v>
      </c>
      <c r="AI57" s="26">
        <f t="shared" si="18"/>
        <v>-4.7625555555555534</v>
      </c>
      <c r="AJ57" s="23"/>
      <c r="AK57" s="25"/>
      <c r="AL57" s="18">
        <f t="shared" si="19"/>
        <v>-3.1096666666666648</v>
      </c>
      <c r="AM57" s="18">
        <f t="shared" si="20"/>
        <v>0.35144444444444733</v>
      </c>
      <c r="AN57" s="18">
        <f t="shared" si="21"/>
        <v>-5.7030000000000012</v>
      </c>
      <c r="AO57" s="18">
        <f t="shared" si="22"/>
        <v>-3.3568888888888901</v>
      </c>
      <c r="AP57" s="18">
        <f t="shared" si="23"/>
        <v>-3.147435897435896</v>
      </c>
      <c r="AQ57" s="18">
        <f t="shared" si="24"/>
        <v>-5.311333333333331</v>
      </c>
      <c r="AR57" s="23"/>
      <c r="AS57" s="18"/>
      <c r="AT57" s="18">
        <f t="shared" si="32"/>
        <v>5.9007113595594607</v>
      </c>
      <c r="AU57" s="18">
        <f t="shared" si="11"/>
        <v>0.53580419354131315</v>
      </c>
      <c r="AV57" s="18">
        <f t="shared" si="25"/>
        <v>35.610288585430652</v>
      </c>
      <c r="AW57" s="18">
        <f t="shared" si="11"/>
        <v>7.0036700139083132</v>
      </c>
      <c r="AX57" s="18">
        <f t="shared" si="11"/>
        <v>6.2312595454364885</v>
      </c>
      <c r="AY57" s="18">
        <f t="shared" si="11"/>
        <v>27.143889472883771</v>
      </c>
      <c r="AZ57" s="23"/>
      <c r="BA57" s="18"/>
      <c r="BB57" s="18">
        <f t="shared" si="26"/>
        <v>8.6318312851121348</v>
      </c>
      <c r="BC57" s="18">
        <f t="shared" si="27"/>
        <v>0.78379895552957179</v>
      </c>
      <c r="BD57" s="18">
        <f t="shared" si="28"/>
        <v>52.092363844507837</v>
      </c>
      <c r="BE57" s="18">
        <f t="shared" si="29"/>
        <v>10.245289805392037</v>
      </c>
      <c r="BF57" s="18">
        <f t="shared" si="30"/>
        <v>8.8607934811680753</v>
      </c>
      <c r="BG57" s="18">
        <f t="shared" si="31"/>
        <v>39.707326807654049</v>
      </c>
    </row>
    <row r="58" spans="1:59" x14ac:dyDescent="0.45">
      <c r="A58" s="18" t="s">
        <v>78</v>
      </c>
      <c r="B58" s="21">
        <v>10539371</v>
      </c>
      <c r="C58" s="38"/>
      <c r="D58" s="22">
        <v>31.09</v>
      </c>
      <c r="E58" s="22">
        <v>29.986666666666668</v>
      </c>
      <c r="F58" s="22">
        <v>29.283333333333331</v>
      </c>
      <c r="G58" s="22">
        <v>32.276666666666671</v>
      </c>
      <c r="H58" s="22">
        <v>35.475000000000001</v>
      </c>
      <c r="I58" s="22">
        <v>30.884999999999998</v>
      </c>
      <c r="J58" s="22">
        <v>27.463333333333335</v>
      </c>
      <c r="K58" s="24">
        <v>27.456666666666667</v>
      </c>
      <c r="L58" s="23"/>
      <c r="M58" s="25"/>
      <c r="N58" s="18">
        <f t="shared" si="0"/>
        <v>3.6266666666666652</v>
      </c>
      <c r="O58" s="18">
        <f t="shared" si="1"/>
        <v>2.5233333333333334</v>
      </c>
      <c r="P58" s="18">
        <f t="shared" si="2"/>
        <v>1.8199999999999967</v>
      </c>
      <c r="Q58" s="18">
        <f t="shared" si="3"/>
        <v>4.8133333333333361</v>
      </c>
      <c r="R58" s="18">
        <f t="shared" si="4"/>
        <v>8.0116666666666667</v>
      </c>
      <c r="S58" s="26">
        <f t="shared" si="5"/>
        <v>3.4216666666666633</v>
      </c>
      <c r="T58" s="23"/>
      <c r="U58" s="25"/>
      <c r="V58" s="18">
        <f t="shared" si="13"/>
        <v>3.6333333333333329</v>
      </c>
      <c r="W58" s="18">
        <f t="shared" si="6"/>
        <v>2.5300000000000011</v>
      </c>
      <c r="X58" s="18">
        <f t="shared" si="7"/>
        <v>1.8266666666666644</v>
      </c>
      <c r="Y58" s="18">
        <f t="shared" si="8"/>
        <v>4.8200000000000038</v>
      </c>
      <c r="Z58" s="18">
        <f t="shared" si="9"/>
        <v>8.0183333333333344</v>
      </c>
      <c r="AA58" s="26">
        <f t="shared" si="10"/>
        <v>3.428333333333331</v>
      </c>
      <c r="AB58" s="23"/>
      <c r="AC58" s="25"/>
      <c r="AD58" s="18">
        <f t="shared" si="33"/>
        <v>-0.10755555555555807</v>
      </c>
      <c r="AE58" s="18">
        <f t="shared" si="14"/>
        <v>-1.4497777777777774</v>
      </c>
      <c r="AF58" s="18">
        <f t="shared" si="15"/>
        <v>-0.64755555555555899</v>
      </c>
      <c r="AG58" s="18">
        <f t="shared" si="16"/>
        <v>0.21855555555555739</v>
      </c>
      <c r="AH58" s="18">
        <f t="shared" si="17"/>
        <v>0.22714285714285687</v>
      </c>
      <c r="AI58" s="26">
        <f t="shared" si="18"/>
        <v>-0.89755555555555855</v>
      </c>
      <c r="AJ58" s="23"/>
      <c r="AK58" s="25"/>
      <c r="AL58" s="18">
        <f t="shared" si="19"/>
        <v>-0.92633333333333479</v>
      </c>
      <c r="AM58" s="18">
        <f t="shared" si="20"/>
        <v>-2.2685555555555537</v>
      </c>
      <c r="AN58" s="18">
        <f t="shared" si="21"/>
        <v>-1.4663333333333362</v>
      </c>
      <c r="AO58" s="18">
        <f t="shared" si="22"/>
        <v>-0.60022222222221888</v>
      </c>
      <c r="AP58" s="18">
        <f t="shared" si="23"/>
        <v>-0.55076923076923201</v>
      </c>
      <c r="AQ58" s="18">
        <f t="shared" si="24"/>
        <v>-1.7163333333333357</v>
      </c>
      <c r="AR58" s="23"/>
      <c r="AS58" s="18"/>
      <c r="AT58" s="18">
        <f t="shared" si="32"/>
        <v>1.0774011838721167</v>
      </c>
      <c r="AU58" s="18">
        <f t="shared" si="11"/>
        <v>2.7316597161612326</v>
      </c>
      <c r="AV58" s="18">
        <f t="shared" si="25"/>
        <v>1.5665117114784253</v>
      </c>
      <c r="AW58" s="18">
        <f t="shared" si="11"/>
        <v>0.85942547343370157</v>
      </c>
      <c r="AX58" s="18">
        <f t="shared" si="11"/>
        <v>0.85432514054941711</v>
      </c>
      <c r="AY58" s="18">
        <f t="shared" si="11"/>
        <v>1.8629068730252327</v>
      </c>
      <c r="AZ58" s="23"/>
      <c r="BA58" s="18"/>
      <c r="BB58" s="18">
        <f t="shared" si="26"/>
        <v>1.9004398098594655</v>
      </c>
      <c r="BC58" s="18">
        <f t="shared" si="27"/>
        <v>4.8184046474914632</v>
      </c>
      <c r="BD58" s="18">
        <f t="shared" si="28"/>
        <v>2.7631872543571023</v>
      </c>
      <c r="BE58" s="18">
        <f t="shared" si="29"/>
        <v>1.5159500544177877</v>
      </c>
      <c r="BF58" s="18">
        <f t="shared" si="30"/>
        <v>1.4648665401519145</v>
      </c>
      <c r="BG58" s="18">
        <f t="shared" si="31"/>
        <v>3.2860019429662981</v>
      </c>
    </row>
    <row r="59" spans="1:59" x14ac:dyDescent="0.45">
      <c r="A59" s="18" t="s">
        <v>78</v>
      </c>
      <c r="B59" s="21">
        <v>10541950</v>
      </c>
      <c r="C59" s="38"/>
      <c r="D59" s="22">
        <v>26.866666666666664</v>
      </c>
      <c r="E59" s="22">
        <v>27.36</v>
      </c>
      <c r="F59" s="22">
        <v>25.033333333333331</v>
      </c>
      <c r="G59" s="22">
        <v>27.733333333333334</v>
      </c>
      <c r="H59" s="22">
        <v>32.520000000000003</v>
      </c>
      <c r="I59" s="22">
        <v>26.91</v>
      </c>
      <c r="J59" s="22">
        <v>25.580000000000002</v>
      </c>
      <c r="K59" s="24">
        <v>24.72666666666667</v>
      </c>
      <c r="L59" s="23"/>
      <c r="M59" s="25"/>
      <c r="N59" s="18">
        <f t="shared" si="0"/>
        <v>1.2866666666666617</v>
      </c>
      <c r="O59" s="18">
        <f t="shared" si="1"/>
        <v>1.7799999999999976</v>
      </c>
      <c r="P59" s="18">
        <f t="shared" si="2"/>
        <v>-0.54666666666667041</v>
      </c>
      <c r="Q59" s="18">
        <f t="shared" si="3"/>
        <v>2.1533333333333324</v>
      </c>
      <c r="R59" s="18">
        <f t="shared" si="4"/>
        <v>6.9400000000000013</v>
      </c>
      <c r="S59" s="26">
        <f t="shared" si="5"/>
        <v>1.3299999999999983</v>
      </c>
      <c r="T59" s="23"/>
      <c r="U59" s="25"/>
      <c r="V59" s="18">
        <f t="shared" si="13"/>
        <v>2.1399999999999935</v>
      </c>
      <c r="W59" s="18">
        <f t="shared" si="6"/>
        <v>2.6333333333333293</v>
      </c>
      <c r="X59" s="18">
        <f t="shared" si="7"/>
        <v>0.30666666666666131</v>
      </c>
      <c r="Y59" s="18">
        <f t="shared" si="8"/>
        <v>3.0066666666666642</v>
      </c>
      <c r="Z59" s="18">
        <f t="shared" si="9"/>
        <v>7.793333333333333</v>
      </c>
      <c r="AA59" s="26">
        <f t="shared" si="10"/>
        <v>2.18333333333333</v>
      </c>
      <c r="AB59" s="23"/>
      <c r="AC59" s="25"/>
      <c r="AD59" s="18">
        <f t="shared" si="33"/>
        <v>-2.4475555555555615</v>
      </c>
      <c r="AE59" s="18">
        <f t="shared" si="14"/>
        <v>-2.1931111111111132</v>
      </c>
      <c r="AF59" s="18">
        <f t="shared" si="15"/>
        <v>-3.0142222222222261</v>
      </c>
      <c r="AG59" s="18">
        <f t="shared" si="16"/>
        <v>-2.4414444444444463</v>
      </c>
      <c r="AH59" s="18">
        <f t="shared" si="17"/>
        <v>-0.84452380952380857</v>
      </c>
      <c r="AI59" s="26">
        <f t="shared" si="18"/>
        <v>-2.9892222222222236</v>
      </c>
      <c r="AJ59" s="23"/>
      <c r="AK59" s="25"/>
      <c r="AL59" s="18">
        <f t="shared" si="19"/>
        <v>-2.4196666666666742</v>
      </c>
      <c r="AM59" s="18">
        <f t="shared" si="20"/>
        <v>-2.1652222222222255</v>
      </c>
      <c r="AN59" s="18">
        <f t="shared" si="21"/>
        <v>-2.9863333333333393</v>
      </c>
      <c r="AO59" s="18">
        <f t="shared" si="22"/>
        <v>-2.4135555555555586</v>
      </c>
      <c r="AP59" s="18">
        <f t="shared" si="23"/>
        <v>-0.77576923076923343</v>
      </c>
      <c r="AQ59" s="18">
        <f t="shared" si="24"/>
        <v>-2.9613333333333367</v>
      </c>
      <c r="AR59" s="23"/>
      <c r="AS59" s="18"/>
      <c r="AT59" s="18">
        <f t="shared" si="32"/>
        <v>5.4549106113500834</v>
      </c>
      <c r="AU59" s="18">
        <f t="shared" si="11"/>
        <v>4.5729055166016721</v>
      </c>
      <c r="AV59" s="18">
        <f t="shared" si="25"/>
        <v>8.0792547544126041</v>
      </c>
      <c r="AW59" s="18">
        <f t="shared" si="11"/>
        <v>5.431853027842938</v>
      </c>
      <c r="AX59" s="18">
        <f t="shared" si="11"/>
        <v>1.7956719503461871</v>
      </c>
      <c r="AY59" s="18">
        <f t="shared" si="11"/>
        <v>7.9404579935313455</v>
      </c>
      <c r="AZ59" s="23"/>
      <c r="BA59" s="18"/>
      <c r="BB59" s="18">
        <f t="shared" si="26"/>
        <v>5.3504738543639112</v>
      </c>
      <c r="BC59" s="18">
        <f t="shared" si="27"/>
        <v>4.4853551503015625</v>
      </c>
      <c r="BD59" s="18">
        <f t="shared" si="28"/>
        <v>7.9245737292716392</v>
      </c>
      <c r="BE59" s="18">
        <f t="shared" si="29"/>
        <v>5.3278577188321741</v>
      </c>
      <c r="BF59" s="18">
        <f t="shared" si="30"/>
        <v>1.7121026843081877</v>
      </c>
      <c r="BG59" s="18">
        <f t="shared" si="31"/>
        <v>7.7884342958187123</v>
      </c>
    </row>
    <row r="60" spans="1:59" x14ac:dyDescent="0.45">
      <c r="A60" s="18" t="s">
        <v>78</v>
      </c>
      <c r="B60" s="21">
        <v>10543025</v>
      </c>
      <c r="C60" s="38"/>
      <c r="D60" s="22">
        <v>27.74</v>
      </c>
      <c r="E60" s="22">
        <v>24.376666666666665</v>
      </c>
      <c r="F60" s="22">
        <v>26.556666666666668</v>
      </c>
      <c r="G60" s="22">
        <v>28.27</v>
      </c>
      <c r="H60" s="22">
        <v>32.24</v>
      </c>
      <c r="I60" s="22">
        <v>28.633333333333336</v>
      </c>
      <c r="J60" s="22">
        <v>25.146666666666665</v>
      </c>
      <c r="K60" s="24">
        <v>23.813333333333333</v>
      </c>
      <c r="L60" s="23"/>
      <c r="M60" s="25"/>
      <c r="N60" s="18">
        <f t="shared" si="0"/>
        <v>2.5933333333333337</v>
      </c>
      <c r="O60" s="18">
        <f t="shared" si="1"/>
        <v>-0.76999999999999957</v>
      </c>
      <c r="P60" s="18">
        <f t="shared" si="2"/>
        <v>1.4100000000000037</v>
      </c>
      <c r="Q60" s="18">
        <f t="shared" si="3"/>
        <v>3.1233333333333348</v>
      </c>
      <c r="R60" s="18">
        <f t="shared" si="4"/>
        <v>7.0933333333333373</v>
      </c>
      <c r="S60" s="26">
        <f t="shared" si="5"/>
        <v>3.4866666666666717</v>
      </c>
      <c r="T60" s="23"/>
      <c r="U60" s="25"/>
      <c r="V60" s="18">
        <f t="shared" si="13"/>
        <v>3.9266666666666659</v>
      </c>
      <c r="W60" s="18">
        <f t="shared" si="6"/>
        <v>0.56333333333333258</v>
      </c>
      <c r="X60" s="18">
        <f t="shared" si="7"/>
        <v>2.7433333333333358</v>
      </c>
      <c r="Y60" s="18">
        <f t="shared" si="8"/>
        <v>4.456666666666667</v>
      </c>
      <c r="Z60" s="18">
        <f t="shared" si="9"/>
        <v>8.4266666666666694</v>
      </c>
      <c r="AA60" s="26">
        <f t="shared" si="10"/>
        <v>4.8200000000000038</v>
      </c>
      <c r="AB60" s="23"/>
      <c r="AC60" s="25"/>
      <c r="AD60" s="18">
        <f t="shared" si="33"/>
        <v>-1.1408888888888895</v>
      </c>
      <c r="AE60" s="18">
        <f t="shared" si="14"/>
        <v>-4.7431111111111104</v>
      </c>
      <c r="AF60" s="18">
        <f t="shared" si="15"/>
        <v>-1.057555555555552</v>
      </c>
      <c r="AG60" s="18">
        <f t="shared" si="16"/>
        <v>-1.4714444444444439</v>
      </c>
      <c r="AH60" s="18">
        <f t="shared" si="17"/>
        <v>-0.69119047619047258</v>
      </c>
      <c r="AI60" s="26">
        <f t="shared" si="18"/>
        <v>-0.83255555555555016</v>
      </c>
      <c r="AJ60" s="23"/>
      <c r="AK60" s="25"/>
      <c r="AL60" s="18">
        <f t="shared" si="19"/>
        <v>-0.63300000000000178</v>
      </c>
      <c r="AM60" s="18">
        <f t="shared" si="20"/>
        <v>-4.2352222222222222</v>
      </c>
      <c r="AN60" s="18">
        <f t="shared" si="21"/>
        <v>-0.54966666666666475</v>
      </c>
      <c r="AO60" s="18">
        <f t="shared" si="22"/>
        <v>-0.96355555555555572</v>
      </c>
      <c r="AP60" s="18">
        <f t="shared" si="23"/>
        <v>-0.14243589743589702</v>
      </c>
      <c r="AQ60" s="18">
        <f t="shared" si="24"/>
        <v>-0.32466666666666288</v>
      </c>
      <c r="AR60" s="23"/>
      <c r="AS60" s="18"/>
      <c r="AT60" s="18">
        <f t="shared" si="32"/>
        <v>2.2051684855622793</v>
      </c>
      <c r="AU60" s="18">
        <f t="shared" si="11"/>
        <v>26.780502223069345</v>
      </c>
      <c r="AV60" s="18">
        <f t="shared" si="25"/>
        <v>2.0814018886574215</v>
      </c>
      <c r="AW60" s="18">
        <f t="shared" si="11"/>
        <v>2.7729939032434814</v>
      </c>
      <c r="AX60" s="18">
        <f t="shared" si="11"/>
        <v>1.6146153094232438</v>
      </c>
      <c r="AY60" s="18">
        <f t="shared" si="11"/>
        <v>1.7808371023816607</v>
      </c>
      <c r="AZ60" s="23"/>
      <c r="BA60" s="18"/>
      <c r="BB60" s="18">
        <f t="shared" si="26"/>
        <v>1.5507864126940116</v>
      </c>
      <c r="BC60" s="18">
        <f t="shared" si="27"/>
        <v>18.833408532984752</v>
      </c>
      <c r="BD60" s="18">
        <f t="shared" si="28"/>
        <v>1.4637474593976654</v>
      </c>
      <c r="BE60" s="18">
        <f t="shared" si="29"/>
        <v>1.9501100690439153</v>
      </c>
      <c r="BF60" s="18">
        <f t="shared" si="30"/>
        <v>1.1037671830733373</v>
      </c>
      <c r="BG60" s="18">
        <f t="shared" si="31"/>
        <v>1.2523750451161877</v>
      </c>
    </row>
    <row r="61" spans="1:59" x14ac:dyDescent="0.45">
      <c r="A61" s="18" t="s">
        <v>78</v>
      </c>
      <c r="B61" s="21">
        <v>10536398</v>
      </c>
      <c r="C61" s="38"/>
      <c r="D61" s="22">
        <v>26.716666666666665</v>
      </c>
      <c r="E61" s="22">
        <v>27.66</v>
      </c>
      <c r="F61" s="22">
        <v>25.833333333333332</v>
      </c>
      <c r="G61" s="22">
        <v>27.153333333333336</v>
      </c>
      <c r="H61" s="22">
        <v>32.419999999999995</v>
      </c>
      <c r="I61" s="22">
        <v>26.366666666666664</v>
      </c>
      <c r="J61" s="22">
        <v>25.203333333333333</v>
      </c>
      <c r="K61" s="24">
        <v>24.959999999999997</v>
      </c>
      <c r="L61" s="23"/>
      <c r="M61" s="25"/>
      <c r="N61" s="18">
        <f t="shared" si="0"/>
        <v>1.5133333333333319</v>
      </c>
      <c r="O61" s="18">
        <f t="shared" si="1"/>
        <v>2.456666666666667</v>
      </c>
      <c r="P61" s="18">
        <f t="shared" si="2"/>
        <v>0.62999999999999901</v>
      </c>
      <c r="Q61" s="18">
        <f t="shared" si="3"/>
        <v>1.9500000000000028</v>
      </c>
      <c r="R61" s="18">
        <f t="shared" si="4"/>
        <v>7.2166666666666615</v>
      </c>
      <c r="S61" s="26">
        <f t="shared" si="5"/>
        <v>1.1633333333333304</v>
      </c>
      <c r="T61" s="23"/>
      <c r="U61" s="25"/>
      <c r="V61" s="18">
        <f t="shared" si="13"/>
        <v>1.7566666666666677</v>
      </c>
      <c r="W61" s="18">
        <f t="shared" si="6"/>
        <v>2.7000000000000028</v>
      </c>
      <c r="X61" s="18">
        <f t="shared" si="7"/>
        <v>0.87333333333333485</v>
      </c>
      <c r="Y61" s="18">
        <f t="shared" si="8"/>
        <v>2.1933333333333387</v>
      </c>
      <c r="Z61" s="18">
        <f t="shared" si="9"/>
        <v>7.4599999999999973</v>
      </c>
      <c r="AA61" s="26">
        <f t="shared" si="10"/>
        <v>1.4066666666666663</v>
      </c>
      <c r="AB61" s="23"/>
      <c r="AC61" s="25"/>
      <c r="AD61" s="18">
        <f t="shared" si="33"/>
        <v>-2.2208888888888914</v>
      </c>
      <c r="AE61" s="18">
        <f t="shared" si="14"/>
        <v>-1.5164444444444438</v>
      </c>
      <c r="AF61" s="18">
        <f t="shared" si="15"/>
        <v>-1.8375555555555567</v>
      </c>
      <c r="AG61" s="18">
        <f t="shared" si="16"/>
        <v>-2.6447777777777759</v>
      </c>
      <c r="AH61" s="18">
        <f t="shared" si="17"/>
        <v>-0.56785714285714839</v>
      </c>
      <c r="AI61" s="26">
        <f t="shared" si="18"/>
        <v>-3.1558888888888914</v>
      </c>
      <c r="AJ61" s="23"/>
      <c r="AK61" s="25"/>
      <c r="AL61" s="18">
        <f t="shared" si="19"/>
        <v>-2.8029999999999999</v>
      </c>
      <c r="AM61" s="18">
        <f t="shared" si="20"/>
        <v>-2.098555555555552</v>
      </c>
      <c r="AN61" s="18">
        <f t="shared" si="21"/>
        <v>-2.4196666666666657</v>
      </c>
      <c r="AO61" s="18">
        <f t="shared" si="22"/>
        <v>-3.226888888888884</v>
      </c>
      <c r="AP61" s="18">
        <f t="shared" si="23"/>
        <v>-1.1091025641025691</v>
      </c>
      <c r="AQ61" s="18">
        <f t="shared" si="24"/>
        <v>-3.7380000000000004</v>
      </c>
      <c r="AR61" s="23"/>
      <c r="AS61" s="18"/>
      <c r="AT61" s="18">
        <f t="shared" si="32"/>
        <v>4.6618057434334998</v>
      </c>
      <c r="AU61" s="18">
        <f t="shared" si="11"/>
        <v>2.8608511662815199</v>
      </c>
      <c r="AV61" s="18">
        <f t="shared" si="25"/>
        <v>3.5740394418750592</v>
      </c>
      <c r="AW61" s="18">
        <f t="shared" si="11"/>
        <v>6.2539937512478092</v>
      </c>
      <c r="AX61" s="18">
        <f t="shared" si="11"/>
        <v>1.4823202216664997</v>
      </c>
      <c r="AY61" s="18">
        <f t="shared" si="11"/>
        <v>8.9128627439337347</v>
      </c>
      <c r="AZ61" s="23"/>
      <c r="BA61" s="18"/>
      <c r="BB61" s="18">
        <f t="shared" si="26"/>
        <v>6.9789016461660669</v>
      </c>
      <c r="BC61" s="18">
        <f t="shared" si="27"/>
        <v>4.2828037058217712</v>
      </c>
      <c r="BD61" s="18">
        <f t="shared" si="28"/>
        <v>5.350473854363881</v>
      </c>
      <c r="BE61" s="18">
        <f t="shared" si="29"/>
        <v>9.3624680408818559</v>
      </c>
      <c r="BF61" s="18">
        <f t="shared" si="30"/>
        <v>2.1571142115414061</v>
      </c>
      <c r="BG61" s="18">
        <f t="shared" si="31"/>
        <v>13.342896701199429</v>
      </c>
    </row>
    <row r="62" spans="1:59" x14ac:dyDescent="0.45">
      <c r="A62" s="18" t="s">
        <v>78</v>
      </c>
      <c r="B62" s="21">
        <v>10539019</v>
      </c>
      <c r="C62" s="38"/>
      <c r="D62" s="22">
        <v>27.69</v>
      </c>
      <c r="E62" s="22">
        <v>29.45</v>
      </c>
      <c r="F62" s="22">
        <v>25.366666666666664</v>
      </c>
      <c r="G62" s="22">
        <v>29.456666666666667</v>
      </c>
      <c r="H62" s="22">
        <v>34.856666666666662</v>
      </c>
      <c r="I62" s="22">
        <v>27.786666666666665</v>
      </c>
      <c r="J62" s="22">
        <v>27.086666666666662</v>
      </c>
      <c r="K62" s="24">
        <v>25.846666666666664</v>
      </c>
      <c r="L62" s="23"/>
      <c r="M62" s="25"/>
      <c r="N62" s="18">
        <f t="shared" si="0"/>
        <v>0.60333333333333883</v>
      </c>
      <c r="O62" s="18">
        <f t="shared" si="1"/>
        <v>2.3633333333333368</v>
      </c>
      <c r="P62" s="18">
        <f t="shared" si="2"/>
        <v>-1.7199999999999989</v>
      </c>
      <c r="Q62" s="18">
        <f t="shared" si="3"/>
        <v>2.3700000000000045</v>
      </c>
      <c r="R62" s="18">
        <f t="shared" si="4"/>
        <v>7.77</v>
      </c>
      <c r="S62" s="26">
        <f t="shared" si="5"/>
        <v>0.70000000000000284</v>
      </c>
      <c r="T62" s="23"/>
      <c r="U62" s="25"/>
      <c r="V62" s="18">
        <f t="shared" si="13"/>
        <v>1.8433333333333373</v>
      </c>
      <c r="W62" s="18">
        <f t="shared" si="6"/>
        <v>3.6033333333333353</v>
      </c>
      <c r="X62" s="18">
        <f t="shared" si="7"/>
        <v>-0.48000000000000043</v>
      </c>
      <c r="Y62" s="18">
        <f t="shared" si="8"/>
        <v>3.610000000000003</v>
      </c>
      <c r="Z62" s="18">
        <f t="shared" si="9"/>
        <v>9.009999999999998</v>
      </c>
      <c r="AA62" s="26">
        <f t="shared" si="10"/>
        <v>1.9400000000000013</v>
      </c>
      <c r="AB62" s="23"/>
      <c r="AC62" s="25"/>
      <c r="AD62" s="18">
        <f t="shared" si="33"/>
        <v>-3.1308888888888844</v>
      </c>
      <c r="AE62" s="18">
        <f t="shared" si="14"/>
        <v>-1.609777777777774</v>
      </c>
      <c r="AF62" s="18">
        <f t="shared" si="15"/>
        <v>-4.187555555555555</v>
      </c>
      <c r="AG62" s="18">
        <f t="shared" si="16"/>
        <v>-2.2247777777777742</v>
      </c>
      <c r="AH62" s="18">
        <f t="shared" si="17"/>
        <v>-1.4523809523810272E-2</v>
      </c>
      <c r="AI62" s="26">
        <f t="shared" si="18"/>
        <v>-3.619222222222219</v>
      </c>
      <c r="AJ62" s="23"/>
      <c r="AK62" s="25"/>
      <c r="AL62" s="18">
        <f t="shared" si="19"/>
        <v>-2.7163333333333304</v>
      </c>
      <c r="AM62" s="18">
        <f t="shared" si="20"/>
        <v>-1.1952222222222195</v>
      </c>
      <c r="AN62" s="18">
        <f t="shared" si="21"/>
        <v>-3.773000000000001</v>
      </c>
      <c r="AO62" s="18">
        <f t="shared" si="22"/>
        <v>-1.8102222222222197</v>
      </c>
      <c r="AP62" s="18">
        <f t="shared" si="23"/>
        <v>0.44089743589743158</v>
      </c>
      <c r="AQ62" s="18">
        <f t="shared" si="24"/>
        <v>-3.2046666666666654</v>
      </c>
      <c r="AR62" s="23"/>
      <c r="AS62" s="18"/>
      <c r="AT62" s="18">
        <f t="shared" si="32"/>
        <v>8.7597450967445809</v>
      </c>
      <c r="AU62" s="18">
        <f t="shared" si="11"/>
        <v>3.052048266456949</v>
      </c>
      <c r="AV62" s="18">
        <f t="shared" si="25"/>
        <v>18.221319812400225</v>
      </c>
      <c r="AW62" s="18">
        <f t="shared" si="11"/>
        <v>4.6743889300101884</v>
      </c>
      <c r="AX62" s="18">
        <f t="shared" si="11"/>
        <v>1.0101179817273414</v>
      </c>
      <c r="AY62" s="18">
        <f t="shared" si="11"/>
        <v>12.288374823482917</v>
      </c>
      <c r="AZ62" s="23"/>
      <c r="BA62" s="18"/>
      <c r="BB62" s="18">
        <f t="shared" si="26"/>
        <v>6.5720038859325722</v>
      </c>
      <c r="BC62" s="18">
        <f t="shared" si="27"/>
        <v>2.2898009982805432</v>
      </c>
      <c r="BD62" s="18">
        <f t="shared" si="28"/>
        <v>13.670555854235735</v>
      </c>
      <c r="BE62" s="18">
        <f t="shared" si="29"/>
        <v>3.5069630306712671</v>
      </c>
      <c r="BF62" s="18">
        <f t="shared" si="30"/>
        <v>0.736676212845644</v>
      </c>
      <c r="BG62" s="18">
        <f t="shared" si="31"/>
        <v>9.2193604037335106</v>
      </c>
    </row>
    <row r="63" spans="1:59" x14ac:dyDescent="0.45">
      <c r="A63" s="18" t="s">
        <v>78</v>
      </c>
      <c r="B63" s="21">
        <v>10544803</v>
      </c>
      <c r="C63" s="38"/>
      <c r="D63" s="22">
        <v>25.790000000000003</v>
      </c>
      <c r="E63" s="22">
        <v>28.790000000000003</v>
      </c>
      <c r="F63" s="22">
        <v>23.943333333333332</v>
      </c>
      <c r="G63" s="22">
        <v>27.01</v>
      </c>
      <c r="H63" s="22">
        <v>30.630000000000003</v>
      </c>
      <c r="I63" s="22">
        <v>24.37</v>
      </c>
      <c r="J63" s="22">
        <v>26.253333333333334</v>
      </c>
      <c r="K63" s="24">
        <v>25.456666666666667</v>
      </c>
      <c r="L63" s="23"/>
      <c r="M63" s="25"/>
      <c r="N63" s="18">
        <f t="shared" si="0"/>
        <v>-0.46333333333333115</v>
      </c>
      <c r="O63" s="18">
        <f t="shared" si="1"/>
        <v>2.5366666666666688</v>
      </c>
      <c r="P63" s="18">
        <f t="shared" si="2"/>
        <v>-2.3100000000000023</v>
      </c>
      <c r="Q63" s="18">
        <f t="shared" si="3"/>
        <v>0.75666666666666771</v>
      </c>
      <c r="R63" s="18">
        <f t="shared" si="4"/>
        <v>4.3766666666666687</v>
      </c>
      <c r="S63" s="26">
        <f t="shared" si="5"/>
        <v>-1.8833333333333329</v>
      </c>
      <c r="T63" s="23"/>
      <c r="U63" s="25"/>
      <c r="V63" s="18">
        <f t="shared" si="13"/>
        <v>0.3333333333333357</v>
      </c>
      <c r="W63" s="18">
        <f t="shared" si="6"/>
        <v>3.3333333333333357</v>
      </c>
      <c r="X63" s="18">
        <f t="shared" si="7"/>
        <v>-1.5133333333333354</v>
      </c>
      <c r="Y63" s="18">
        <f t="shared" si="8"/>
        <v>1.5533333333333346</v>
      </c>
      <c r="Z63" s="18">
        <f t="shared" si="9"/>
        <v>5.1733333333333356</v>
      </c>
      <c r="AA63" s="26">
        <f t="shared" si="10"/>
        <v>-1.086666666666666</v>
      </c>
      <c r="AB63" s="23"/>
      <c r="AC63" s="25"/>
      <c r="AD63" s="18">
        <f t="shared" si="33"/>
        <v>-4.1975555555555548</v>
      </c>
      <c r="AE63" s="18">
        <f t="shared" si="14"/>
        <v>-1.436444444444442</v>
      </c>
      <c r="AF63" s="18">
        <f t="shared" si="15"/>
        <v>-4.7775555555555584</v>
      </c>
      <c r="AG63" s="18">
        <f t="shared" si="16"/>
        <v>-3.838111111111111</v>
      </c>
      <c r="AH63" s="18">
        <f t="shared" si="17"/>
        <v>-3.4078571428571411</v>
      </c>
      <c r="AI63" s="26">
        <f t="shared" si="18"/>
        <v>-6.2025555555555547</v>
      </c>
      <c r="AJ63" s="23"/>
      <c r="AK63" s="25"/>
      <c r="AL63" s="18">
        <f t="shared" si="19"/>
        <v>-4.2263333333333319</v>
      </c>
      <c r="AM63" s="18">
        <f t="shared" si="20"/>
        <v>-1.4652222222222191</v>
      </c>
      <c r="AN63" s="18">
        <f t="shared" si="21"/>
        <v>-4.8063333333333365</v>
      </c>
      <c r="AO63" s="18">
        <f t="shared" si="22"/>
        <v>-3.8668888888888882</v>
      </c>
      <c r="AP63" s="18">
        <f t="shared" si="23"/>
        <v>-3.3957692307692309</v>
      </c>
      <c r="AQ63" s="18">
        <f t="shared" si="24"/>
        <v>-6.2313333333333327</v>
      </c>
      <c r="AR63" s="23"/>
      <c r="AS63" s="18"/>
      <c r="AT63" s="18">
        <f t="shared" si="32"/>
        <v>18.348059114454852</v>
      </c>
      <c r="AU63" s="18">
        <f t="shared" si="11"/>
        <v>2.7065301220044673</v>
      </c>
      <c r="AV63" s="18">
        <f t="shared" si="25"/>
        <v>27.427582381152341</v>
      </c>
      <c r="AW63" s="18">
        <f t="shared" si="11"/>
        <v>14.301664017304487</v>
      </c>
      <c r="AX63" s="18">
        <f t="shared" si="11"/>
        <v>10.613710092280161</v>
      </c>
      <c r="AY63" s="18">
        <f t="shared" si="11"/>
        <v>73.647035845350914</v>
      </c>
      <c r="AZ63" s="23"/>
      <c r="BA63" s="18"/>
      <c r="BB63" s="18">
        <f t="shared" si="26"/>
        <v>18.717726838454009</v>
      </c>
      <c r="BC63" s="18">
        <f t="shared" si="27"/>
        <v>2.7610599675807954</v>
      </c>
      <c r="BD63" s="18">
        <f t="shared" si="28"/>
        <v>27.980179900617085</v>
      </c>
      <c r="BE63" s="18">
        <f t="shared" si="29"/>
        <v>14.589806951317193</v>
      </c>
      <c r="BF63" s="18">
        <f t="shared" si="30"/>
        <v>10.525152493319334</v>
      </c>
      <c r="BG63" s="18">
        <f t="shared" si="31"/>
        <v>75.130840314826827</v>
      </c>
    </row>
    <row r="64" spans="1:59" x14ac:dyDescent="0.45">
      <c r="A64" s="18" t="s">
        <v>78</v>
      </c>
      <c r="B64" s="21">
        <v>10536556</v>
      </c>
      <c r="C64" s="38"/>
      <c r="D64" s="22">
        <v>29.945</v>
      </c>
      <c r="E64" s="22">
        <v>33.08</v>
      </c>
      <c r="F64" s="22">
        <v>28.475000000000001</v>
      </c>
      <c r="G64" s="22">
        <v>31.41</v>
      </c>
      <c r="H64" s="22">
        <v>35.409999999999997</v>
      </c>
      <c r="I64" s="22">
        <v>30.72</v>
      </c>
      <c r="J64" s="22">
        <v>26.92</v>
      </c>
      <c r="K64" s="24">
        <v>26.795000000000002</v>
      </c>
      <c r="L64" s="23"/>
      <c r="M64" s="25"/>
      <c r="N64" s="18">
        <f t="shared" si="0"/>
        <v>3.0249999999999986</v>
      </c>
      <c r="O64" s="18">
        <f t="shared" si="1"/>
        <v>6.1599999999999966</v>
      </c>
      <c r="P64" s="18">
        <f t="shared" si="2"/>
        <v>1.5549999999999997</v>
      </c>
      <c r="Q64" s="18">
        <f t="shared" si="3"/>
        <v>4.4899999999999984</v>
      </c>
      <c r="R64" s="18">
        <f t="shared" si="4"/>
        <v>8.4899999999999949</v>
      </c>
      <c r="S64" s="26">
        <f t="shared" si="5"/>
        <v>3.7999999999999972</v>
      </c>
      <c r="T64" s="23"/>
      <c r="U64" s="25"/>
      <c r="V64" s="18">
        <f t="shared" si="13"/>
        <v>3.1499999999999986</v>
      </c>
      <c r="W64" s="18">
        <f t="shared" si="6"/>
        <v>6.2849999999999966</v>
      </c>
      <c r="X64" s="18">
        <f t="shared" si="7"/>
        <v>1.6799999999999997</v>
      </c>
      <c r="Y64" s="18">
        <f t="shared" si="8"/>
        <v>4.6149999999999984</v>
      </c>
      <c r="Z64" s="18">
        <f t="shared" si="9"/>
        <v>8.6149999999999949</v>
      </c>
      <c r="AA64" s="26">
        <f t="shared" si="10"/>
        <v>3.9249999999999972</v>
      </c>
      <c r="AB64" s="23"/>
      <c r="AC64" s="25"/>
      <c r="AD64" s="18">
        <f t="shared" si="33"/>
        <v>-0.70922222222222464</v>
      </c>
      <c r="AE64" s="18">
        <f t="shared" si="14"/>
        <v>2.1868888888888858</v>
      </c>
      <c r="AF64" s="18">
        <f t="shared" si="15"/>
        <v>-0.91255555555555601</v>
      </c>
      <c r="AG64" s="18">
        <f t="shared" si="16"/>
        <v>-0.1047777777777803</v>
      </c>
      <c r="AH64" s="18">
        <f t="shared" si="17"/>
        <v>0.70547619047618504</v>
      </c>
      <c r="AI64" s="26">
        <f t="shared" si="18"/>
        <v>-0.51922222222222469</v>
      </c>
      <c r="AJ64" s="23"/>
      <c r="AK64" s="25"/>
      <c r="AL64" s="18">
        <f t="shared" si="19"/>
        <v>-1.4096666666666691</v>
      </c>
      <c r="AM64" s="18">
        <f t="shared" si="20"/>
        <v>1.4864444444444418</v>
      </c>
      <c r="AN64" s="18">
        <f t="shared" si="21"/>
        <v>-1.6130000000000009</v>
      </c>
      <c r="AO64" s="18">
        <f t="shared" si="22"/>
        <v>-0.80522222222222428</v>
      </c>
      <c r="AP64" s="18">
        <f t="shared" si="23"/>
        <v>4.5897435897428451E-2</v>
      </c>
      <c r="AQ64" s="18">
        <f t="shared" si="24"/>
        <v>-1.2196666666666696</v>
      </c>
      <c r="AR64" s="23"/>
      <c r="AS64" s="18"/>
      <c r="AT64" s="18">
        <f t="shared" si="32"/>
        <v>1.6349224691157298</v>
      </c>
      <c r="AU64" s="18">
        <f t="shared" si="11"/>
        <v>0.21962453108875477</v>
      </c>
      <c r="AV64" s="18">
        <f t="shared" si="25"/>
        <v>1.882376944518477</v>
      </c>
      <c r="AW64" s="18">
        <f t="shared" si="11"/>
        <v>1.0753287419032544</v>
      </c>
      <c r="AX64" s="18">
        <f t="shared" si="11"/>
        <v>0.61324004302439561</v>
      </c>
      <c r="AY64" s="18">
        <f t="shared" si="11"/>
        <v>1.4331823903349876</v>
      </c>
      <c r="AZ64" s="23"/>
      <c r="BA64" s="18"/>
      <c r="BB64" s="18">
        <f t="shared" si="26"/>
        <v>2.6567577159004268</v>
      </c>
      <c r="BC64" s="18">
        <f t="shared" si="27"/>
        <v>0.35689103220084212</v>
      </c>
      <c r="BD64" s="18">
        <f t="shared" si="28"/>
        <v>3.0588725557655372</v>
      </c>
      <c r="BE64" s="18">
        <f t="shared" si="29"/>
        <v>1.7474149301563857</v>
      </c>
      <c r="BF64" s="18">
        <f t="shared" si="30"/>
        <v>0.96868705269667155</v>
      </c>
      <c r="BG64" s="18">
        <f t="shared" si="31"/>
        <v>2.3289290139088363</v>
      </c>
    </row>
    <row r="65" spans="1:59" x14ac:dyDescent="0.45">
      <c r="A65" s="18" t="s">
        <v>78</v>
      </c>
      <c r="B65" s="31">
        <v>10527154</v>
      </c>
      <c r="C65" s="39"/>
      <c r="D65" s="32">
        <v>27.736666666666665</v>
      </c>
      <c r="E65" s="32">
        <v>29.833333333333332</v>
      </c>
      <c r="F65" s="32">
        <v>25.5</v>
      </c>
      <c r="G65" s="32">
        <v>27.06</v>
      </c>
      <c r="H65" s="32">
        <v>31.99</v>
      </c>
      <c r="I65" s="32">
        <v>27.123333333333335</v>
      </c>
      <c r="J65" s="32">
        <v>24.396666666666665</v>
      </c>
      <c r="K65" s="33">
        <v>23.28</v>
      </c>
      <c r="L65" s="23"/>
      <c r="M65" s="34"/>
      <c r="N65" s="30">
        <f t="shared" si="0"/>
        <v>3.34</v>
      </c>
      <c r="O65" s="30">
        <f t="shared" si="1"/>
        <v>5.4366666666666674</v>
      </c>
      <c r="P65" s="30">
        <f t="shared" si="2"/>
        <v>1.1033333333333353</v>
      </c>
      <c r="Q65" s="30">
        <f t="shared" si="3"/>
        <v>2.663333333333334</v>
      </c>
      <c r="R65" s="30">
        <f t="shared" si="4"/>
        <v>7.5933333333333337</v>
      </c>
      <c r="S65" s="35">
        <f t="shared" si="5"/>
        <v>2.7266666666666701</v>
      </c>
      <c r="T65" s="23"/>
      <c r="U65" s="34"/>
      <c r="V65" s="30">
        <f>D65-K65</f>
        <v>4.4566666666666634</v>
      </c>
      <c r="W65" s="30">
        <f t="shared" si="6"/>
        <v>6.553333333333331</v>
      </c>
      <c r="X65" s="30">
        <f t="shared" si="7"/>
        <v>2.2199999999999989</v>
      </c>
      <c r="Y65" s="30">
        <f t="shared" si="8"/>
        <v>3.7799999999999976</v>
      </c>
      <c r="Z65" s="30">
        <f t="shared" si="9"/>
        <v>8.7099999999999973</v>
      </c>
      <c r="AA65" s="35">
        <f t="shared" si="10"/>
        <v>3.8433333333333337</v>
      </c>
      <c r="AB65" s="23"/>
      <c r="AC65" s="34"/>
      <c r="AD65" s="30">
        <f t="shared" si="33"/>
        <v>-0.39422222222222336</v>
      </c>
      <c r="AE65" s="30">
        <f t="shared" si="14"/>
        <v>1.4635555555555566</v>
      </c>
      <c r="AF65" s="30">
        <f t="shared" si="15"/>
        <v>-1.3642222222222204</v>
      </c>
      <c r="AG65" s="30">
        <f t="shared" si="16"/>
        <v>-1.9314444444444447</v>
      </c>
      <c r="AH65" s="30">
        <f t="shared" si="17"/>
        <v>-0.19119047619047613</v>
      </c>
      <c r="AI65" s="35">
        <f t="shared" si="18"/>
        <v>-1.5925555555555517</v>
      </c>
      <c r="AJ65" s="23"/>
      <c r="AK65" s="34"/>
      <c r="AL65" s="30">
        <f>V65-$V$96</f>
        <v>-0.1030000000000042</v>
      </c>
      <c r="AM65" s="30">
        <f t="shared" si="20"/>
        <v>1.7547777777777762</v>
      </c>
      <c r="AN65" s="30">
        <f t="shared" si="21"/>
        <v>-1.0730000000000017</v>
      </c>
      <c r="AO65" s="30">
        <f t="shared" si="22"/>
        <v>-1.6402222222222251</v>
      </c>
      <c r="AP65" s="30">
        <f t="shared" si="23"/>
        <v>0.14089743589743087</v>
      </c>
      <c r="AQ65" s="30">
        <f t="shared" si="24"/>
        <v>-1.301333333333333</v>
      </c>
      <c r="AR65" s="45"/>
      <c r="AS65" s="30"/>
      <c r="AT65" s="30">
        <f t="shared" si="32"/>
        <v>1.3142340465869178</v>
      </c>
      <c r="AU65" s="30">
        <f t="shared" si="11"/>
        <v>0.36259839503993835</v>
      </c>
      <c r="AV65" s="30">
        <f t="shared" si="25"/>
        <v>2.574375002014055</v>
      </c>
      <c r="AW65" s="30">
        <f t="shared" si="11"/>
        <v>3.8143690753579658</v>
      </c>
      <c r="AX65" s="30">
        <f t="shared" si="11"/>
        <v>1.1417054343007942</v>
      </c>
      <c r="AY65" s="30">
        <f t="shared" si="11"/>
        <v>3.0158309370458776</v>
      </c>
      <c r="AZ65" s="45"/>
      <c r="BA65" s="30"/>
      <c r="BB65" s="30">
        <f>2^-AL65</f>
        <v>1.0740044716201276</v>
      </c>
      <c r="BC65" s="30">
        <f t="shared" si="27"/>
        <v>0.29631883201210296</v>
      </c>
      <c r="BD65" s="30">
        <f t="shared" si="28"/>
        <v>2.1038035584077472</v>
      </c>
      <c r="BE65" s="30">
        <f t="shared" si="29"/>
        <v>3.1171384229339019</v>
      </c>
      <c r="BF65" s="30">
        <f t="shared" si="30"/>
        <v>0.90695480388900562</v>
      </c>
      <c r="BG65" s="30">
        <f t="shared" si="31"/>
        <v>2.4645655166591958</v>
      </c>
    </row>
    <row r="66" spans="1:59" x14ac:dyDescent="0.45">
      <c r="A66" s="19" t="s">
        <v>79</v>
      </c>
      <c r="B66" s="36">
        <v>10537769</v>
      </c>
      <c r="C66" s="38"/>
      <c r="D66" s="37">
        <v>26.346666666666668</v>
      </c>
      <c r="E66" s="37">
        <v>30.923333333333332</v>
      </c>
      <c r="F66" s="37">
        <v>23.209999999999997</v>
      </c>
      <c r="G66" s="37">
        <v>28.703333333333333</v>
      </c>
      <c r="H66" s="37">
        <v>32.254999999999995</v>
      </c>
      <c r="I66" s="37">
        <v>26.429999999999996</v>
      </c>
      <c r="J66" s="37">
        <v>24.703333333333333</v>
      </c>
      <c r="K66" s="19">
        <v>25.1840476190476</v>
      </c>
      <c r="L66" s="23"/>
      <c r="M66" s="42"/>
      <c r="N66" s="19">
        <f t="shared" si="0"/>
        <v>1.6433333333333344</v>
      </c>
      <c r="O66" s="19">
        <f t="shared" si="1"/>
        <v>6.2199999999999989</v>
      </c>
      <c r="P66" s="19">
        <f t="shared" si="2"/>
        <v>-1.4933333333333358</v>
      </c>
      <c r="Q66" s="19">
        <f t="shared" si="3"/>
        <v>4</v>
      </c>
      <c r="R66" s="19">
        <f t="shared" si="4"/>
        <v>7.5516666666666623</v>
      </c>
      <c r="S66" s="44">
        <f t="shared" si="5"/>
        <v>1.726666666666663</v>
      </c>
      <c r="T66" s="23"/>
      <c r="U66" s="42"/>
      <c r="V66" s="53">
        <f>D66-K66</f>
        <v>1.1626190476190672</v>
      </c>
      <c r="W66" s="53">
        <f t="shared" si="6"/>
        <v>5.7392857142857316</v>
      </c>
      <c r="X66" s="53">
        <f t="shared" si="7"/>
        <v>-1.9740476190476031</v>
      </c>
      <c r="Y66" s="53">
        <f t="shared" si="8"/>
        <v>3.5192857142857328</v>
      </c>
      <c r="Z66" s="53">
        <f t="shared" si="9"/>
        <v>7.0709523809523951</v>
      </c>
      <c r="AA66" s="54">
        <f>I66-K66</f>
        <v>1.2459523809523958</v>
      </c>
      <c r="AB66" s="23"/>
      <c r="AC66" s="42"/>
      <c r="AD66" s="19">
        <f t="shared" si="33"/>
        <v>-2.0908888888888888</v>
      </c>
      <c r="AE66" s="19">
        <f t="shared" si="14"/>
        <v>2.246888888888888</v>
      </c>
      <c r="AF66" s="19">
        <f t="shared" si="15"/>
        <v>-3.9608888888888916</v>
      </c>
      <c r="AG66" s="19">
        <f t="shared" si="16"/>
        <v>-0.59477777777777874</v>
      </c>
      <c r="AH66" s="19">
        <f t="shared" si="17"/>
        <v>-0.23285714285714754</v>
      </c>
      <c r="AI66" s="44">
        <f t="shared" si="18"/>
        <v>-2.5925555555555588</v>
      </c>
      <c r="AJ66" s="23"/>
      <c r="AK66" s="42"/>
      <c r="AL66" s="19">
        <f>V66-$V$96</f>
        <v>-3.3970476190476004</v>
      </c>
      <c r="AM66" s="19">
        <f t="shared" si="20"/>
        <v>0.94073015873017685</v>
      </c>
      <c r="AN66" s="19">
        <f t="shared" si="21"/>
        <v>-5.2670476190476041</v>
      </c>
      <c r="AO66" s="19">
        <f t="shared" si="22"/>
        <v>-1.9009365079364899</v>
      </c>
      <c r="AP66" s="19">
        <f t="shared" si="23"/>
        <v>-1.4981501831501713</v>
      </c>
      <c r="AQ66" s="19">
        <f t="shared" si="24"/>
        <v>-3.8987142857142709</v>
      </c>
      <c r="AR66" s="23"/>
      <c r="AS66" s="19"/>
      <c r="AT66" s="19">
        <f t="shared" si="32"/>
        <v>4.260104703209576</v>
      </c>
      <c r="AU66" s="19">
        <f t="shared" si="11"/>
        <v>0.21067793239707816</v>
      </c>
      <c r="AV66" s="19">
        <f t="shared" si="25"/>
        <v>15.572070636252416</v>
      </c>
      <c r="AW66" s="19">
        <f t="shared" si="11"/>
        <v>1.5102399412998113</v>
      </c>
      <c r="AX66" s="19">
        <f t="shared" si="11"/>
        <v>1.1751599571138409</v>
      </c>
      <c r="AY66" s="19">
        <f t="shared" si="11"/>
        <v>6.0316618740917844</v>
      </c>
      <c r="AZ66" s="23"/>
      <c r="BA66" s="19"/>
      <c r="BB66" s="53">
        <f>2^-AL66</f>
        <v>10.534483082509093</v>
      </c>
      <c r="BC66" s="53">
        <f t="shared" si="27"/>
        <v>0.52096914731295763</v>
      </c>
      <c r="BD66" s="53">
        <f t="shared" si="28"/>
        <v>38.506967810825579</v>
      </c>
      <c r="BE66" s="53">
        <f t="shared" si="29"/>
        <v>3.7345554207073923</v>
      </c>
      <c r="BF66" s="53">
        <f t="shared" si="30"/>
        <v>2.8248028526931406</v>
      </c>
      <c r="BG66" s="53">
        <f t="shared" si="31"/>
        <v>14.915229647797963</v>
      </c>
    </row>
    <row r="67" spans="1:59" x14ac:dyDescent="0.45">
      <c r="A67" s="19" t="s">
        <v>79</v>
      </c>
      <c r="B67" s="36">
        <v>10536826</v>
      </c>
      <c r="C67" s="38"/>
      <c r="D67" s="37">
        <v>28.7</v>
      </c>
      <c r="E67" s="37">
        <v>29.945</v>
      </c>
      <c r="F67" s="37">
        <v>27.873333333333335</v>
      </c>
      <c r="G67" s="37">
        <v>27.885000000000002</v>
      </c>
      <c r="H67" s="37">
        <v>30.35</v>
      </c>
      <c r="I67" s="37">
        <v>27.75</v>
      </c>
      <c r="J67" s="37">
        <v>25.256666666666664</v>
      </c>
      <c r="K67" s="40">
        <v>24.136666666666699</v>
      </c>
      <c r="L67" s="23"/>
      <c r="M67" s="42"/>
      <c r="N67" s="19">
        <f t="shared" si="0"/>
        <v>3.4433333333333351</v>
      </c>
      <c r="O67" s="19">
        <f t="shared" si="1"/>
        <v>4.6883333333333361</v>
      </c>
      <c r="P67" s="19">
        <f t="shared" si="2"/>
        <v>2.6166666666666707</v>
      </c>
      <c r="Q67" s="19">
        <f t="shared" si="3"/>
        <v>2.6283333333333374</v>
      </c>
      <c r="R67" s="19">
        <f t="shared" si="4"/>
        <v>5.0933333333333373</v>
      </c>
      <c r="S67" s="44">
        <f t="shared" si="5"/>
        <v>2.4933333333333358</v>
      </c>
      <c r="T67" s="23"/>
      <c r="U67" s="42"/>
      <c r="V67" s="19">
        <f t="shared" si="13"/>
        <v>4.5633333333333006</v>
      </c>
      <c r="W67" s="19">
        <f t="shared" si="6"/>
        <v>5.8083333333333016</v>
      </c>
      <c r="X67" s="19">
        <f t="shared" si="7"/>
        <v>3.7366666666666362</v>
      </c>
      <c r="Y67" s="19">
        <f t="shared" si="8"/>
        <v>3.7483333333333029</v>
      </c>
      <c r="Z67" s="19">
        <f t="shared" si="9"/>
        <v>6.2133333333333027</v>
      </c>
      <c r="AA67" s="44">
        <f t="shared" si="10"/>
        <v>3.6133333333333013</v>
      </c>
      <c r="AB67" s="23"/>
      <c r="AC67" s="42"/>
      <c r="AD67" s="19">
        <f t="shared" si="33"/>
        <v>-0.29088888888888809</v>
      </c>
      <c r="AE67" s="19">
        <f t="shared" si="14"/>
        <v>0.71522222222222531</v>
      </c>
      <c r="AF67" s="19">
        <f t="shared" si="15"/>
        <v>0.14911111111111497</v>
      </c>
      <c r="AG67" s="19">
        <f t="shared" si="16"/>
        <v>-1.9664444444444413</v>
      </c>
      <c r="AH67" s="19">
        <f t="shared" si="17"/>
        <v>-2.6911904761904726</v>
      </c>
      <c r="AI67" s="44">
        <f t="shared" si="18"/>
        <v>-1.825888888888886</v>
      </c>
      <c r="AJ67" s="23"/>
      <c r="AK67" s="42"/>
      <c r="AL67" s="19">
        <f t="shared" si="19"/>
        <v>3.6666666666329562E-3</v>
      </c>
      <c r="AM67" s="19">
        <f t="shared" si="20"/>
        <v>1.0097777777777468</v>
      </c>
      <c r="AN67" s="19">
        <f t="shared" si="21"/>
        <v>0.44366666666663557</v>
      </c>
      <c r="AO67" s="19">
        <f t="shared" si="22"/>
        <v>-1.6718888888889198</v>
      </c>
      <c r="AP67" s="19">
        <f t="shared" si="23"/>
        <v>-2.3557692307692637</v>
      </c>
      <c r="AQ67" s="19">
        <f t="shared" si="24"/>
        <v>-1.5313333333333654</v>
      </c>
      <c r="AR67" s="23"/>
      <c r="AS67" s="19"/>
      <c r="AT67" s="19">
        <f t="shared" si="32"/>
        <v>1.2233938161729925</v>
      </c>
      <c r="AU67" s="19">
        <f t="shared" si="32"/>
        <v>0.60911130154879856</v>
      </c>
      <c r="AV67" s="19">
        <f t="shared" si="25"/>
        <v>0.90180592190406372</v>
      </c>
      <c r="AW67" s="19">
        <f t="shared" si="25"/>
        <v>3.9080378617233125</v>
      </c>
      <c r="AX67" s="19">
        <f t="shared" si="25"/>
        <v>6.4584612376929753</v>
      </c>
      <c r="AY67" s="19">
        <f t="shared" si="25"/>
        <v>3.5452537437496172</v>
      </c>
      <c r="AZ67" s="23"/>
      <c r="BA67" s="19"/>
      <c r="BB67" s="19">
        <f t="shared" si="26"/>
        <v>0.99746168731548768</v>
      </c>
      <c r="BC67" s="19">
        <f t="shared" si="27"/>
        <v>0.49662273797196077</v>
      </c>
      <c r="BD67" s="19">
        <f t="shared" si="28"/>
        <v>0.73526353051823123</v>
      </c>
      <c r="BE67" s="19">
        <f t="shared" si="29"/>
        <v>3.186314977331989</v>
      </c>
      <c r="BF67" s="19">
        <f t="shared" si="30"/>
        <v>5.118670822448018</v>
      </c>
      <c r="BG67" s="19">
        <f t="shared" si="31"/>
        <v>2.8905285726096919</v>
      </c>
    </row>
    <row r="68" spans="1:59" x14ac:dyDescent="0.45">
      <c r="A68" s="19" t="s">
        <v>79</v>
      </c>
      <c r="B68" s="36">
        <v>10534983</v>
      </c>
      <c r="C68" s="38"/>
      <c r="D68" s="37">
        <v>28.91</v>
      </c>
      <c r="E68" s="37">
        <v>29.849999999999998</v>
      </c>
      <c r="F68" s="37">
        <v>28.103333333333335</v>
      </c>
      <c r="G68" s="37">
        <v>29.67</v>
      </c>
      <c r="H68" s="37">
        <v>32.585000000000001</v>
      </c>
      <c r="I68" s="37">
        <v>29.84</v>
      </c>
      <c r="J68" s="37">
        <v>25.346666666666664</v>
      </c>
      <c r="K68" s="40">
        <v>23.916666666666668</v>
      </c>
      <c r="L68" s="23"/>
      <c r="M68" s="42"/>
      <c r="N68" s="19">
        <f t="shared" si="0"/>
        <v>3.5633333333333361</v>
      </c>
      <c r="O68" s="19">
        <f t="shared" si="1"/>
        <v>4.5033333333333339</v>
      </c>
      <c r="P68" s="19">
        <f t="shared" si="2"/>
        <v>2.7566666666666713</v>
      </c>
      <c r="Q68" s="19">
        <f t="shared" si="3"/>
        <v>4.3233333333333377</v>
      </c>
      <c r="R68" s="19">
        <f t="shared" si="4"/>
        <v>7.2383333333333368</v>
      </c>
      <c r="S68" s="44">
        <f t="shared" si="5"/>
        <v>4.4933333333333358</v>
      </c>
      <c r="T68" s="23"/>
      <c r="U68" s="42"/>
      <c r="V68" s="19">
        <f t="shared" si="13"/>
        <v>4.9933333333333323</v>
      </c>
      <c r="W68" s="19">
        <f t="shared" si="6"/>
        <v>5.93333333333333</v>
      </c>
      <c r="X68" s="19">
        <f t="shared" si="7"/>
        <v>4.1866666666666674</v>
      </c>
      <c r="Y68" s="19">
        <f t="shared" si="8"/>
        <v>5.7533333333333339</v>
      </c>
      <c r="Z68" s="19">
        <f t="shared" si="9"/>
        <v>8.668333333333333</v>
      </c>
      <c r="AA68" s="44">
        <f t="shared" si="10"/>
        <v>5.923333333333332</v>
      </c>
      <c r="AB68" s="23"/>
      <c r="AC68" s="42"/>
      <c r="AD68" s="19">
        <f t="shared" si="33"/>
        <v>-0.17088888888888709</v>
      </c>
      <c r="AE68" s="19">
        <f t="shared" si="14"/>
        <v>0.53022222222222304</v>
      </c>
      <c r="AF68" s="19">
        <f t="shared" si="15"/>
        <v>0.28911111111111554</v>
      </c>
      <c r="AG68" s="19">
        <f t="shared" si="16"/>
        <v>-0.27144444444444105</v>
      </c>
      <c r="AH68" s="19">
        <f t="shared" si="17"/>
        <v>-0.54619047619047301</v>
      </c>
      <c r="AI68" s="44">
        <f t="shared" si="18"/>
        <v>0.17411111111111399</v>
      </c>
      <c r="AJ68" s="23"/>
      <c r="AK68" s="42"/>
      <c r="AL68" s="19">
        <f t="shared" si="19"/>
        <v>0.43366666666666465</v>
      </c>
      <c r="AM68" s="19">
        <f t="shared" si="20"/>
        <v>1.1347777777777752</v>
      </c>
      <c r="AN68" s="19">
        <f t="shared" si="21"/>
        <v>0.89366666666666683</v>
      </c>
      <c r="AO68" s="19">
        <f t="shared" si="22"/>
        <v>0.33311111111111114</v>
      </c>
      <c r="AP68" s="19">
        <f t="shared" si="23"/>
        <v>9.9230769230766569E-2</v>
      </c>
      <c r="AQ68" s="19">
        <f t="shared" si="24"/>
        <v>0.77866666666666529</v>
      </c>
      <c r="AR68" s="23"/>
      <c r="AS68" s="19"/>
      <c r="AT68" s="19">
        <f t="shared" si="32"/>
        <v>1.1257518814932255</v>
      </c>
      <c r="AU68" s="19">
        <f t="shared" si="32"/>
        <v>0.69244806619055521</v>
      </c>
      <c r="AV68" s="19">
        <f t="shared" si="25"/>
        <v>0.81840614850638893</v>
      </c>
      <c r="AW68" s="19">
        <f t="shared" si="25"/>
        <v>1.2070157022426631</v>
      </c>
      <c r="AX68" s="19">
        <f t="shared" si="25"/>
        <v>1.4602247885367974</v>
      </c>
      <c r="AY68" s="19">
        <f t="shared" si="25"/>
        <v>0.8863134359374043</v>
      </c>
      <c r="AZ68" s="23"/>
      <c r="BA68" s="19"/>
      <c r="BB68" s="19">
        <f t="shared" si="26"/>
        <v>0.74037769280961574</v>
      </c>
      <c r="BC68" s="19">
        <f t="shared" si="27"/>
        <v>0.45540505866765313</v>
      </c>
      <c r="BD68" s="19">
        <f t="shared" si="28"/>
        <v>0.53824440889109948</v>
      </c>
      <c r="BE68" s="19">
        <f t="shared" si="29"/>
        <v>0.79382279124068111</v>
      </c>
      <c r="BF68" s="19">
        <f t="shared" si="30"/>
        <v>0.93353060817751154</v>
      </c>
      <c r="BG68" s="19">
        <f t="shared" si="31"/>
        <v>0.58290526322291347</v>
      </c>
    </row>
    <row r="69" spans="1:59" x14ac:dyDescent="0.45">
      <c r="A69" s="19" t="s">
        <v>79</v>
      </c>
      <c r="B69" s="36">
        <v>10539157</v>
      </c>
      <c r="C69" s="38"/>
      <c r="D69" s="37">
        <v>28.8</v>
      </c>
      <c r="E69" s="37">
        <v>31.193333333333339</v>
      </c>
      <c r="F69" s="37">
        <v>26.563333333333333</v>
      </c>
      <c r="G69" s="37">
        <v>29.41333333333333</v>
      </c>
      <c r="H69" s="37">
        <v>33.593333333333334</v>
      </c>
      <c r="I69" s="37">
        <v>27.676666666666666</v>
      </c>
      <c r="J69" s="37">
        <v>25.463333333333335</v>
      </c>
      <c r="K69" s="40">
        <v>24.090000000000003</v>
      </c>
      <c r="L69" s="23"/>
      <c r="M69" s="42"/>
      <c r="N69" s="19">
        <f t="shared" si="0"/>
        <v>3.336666666666666</v>
      </c>
      <c r="O69" s="19">
        <f t="shared" si="1"/>
        <v>5.730000000000004</v>
      </c>
      <c r="P69" s="19">
        <f t="shared" si="2"/>
        <v>1.0999999999999979</v>
      </c>
      <c r="Q69" s="19">
        <f t="shared" si="3"/>
        <v>3.9499999999999957</v>
      </c>
      <c r="R69" s="19">
        <f t="shared" si="4"/>
        <v>8.129999999999999</v>
      </c>
      <c r="S69" s="44">
        <f t="shared" si="5"/>
        <v>2.2133333333333312</v>
      </c>
      <c r="T69" s="23"/>
      <c r="U69" s="42"/>
      <c r="V69" s="19">
        <f t="shared" si="13"/>
        <v>4.7099999999999973</v>
      </c>
      <c r="W69" s="19">
        <f t="shared" si="6"/>
        <v>7.1033333333333353</v>
      </c>
      <c r="X69" s="19">
        <f t="shared" si="7"/>
        <v>2.4733333333333292</v>
      </c>
      <c r="Y69" s="19">
        <f t="shared" si="8"/>
        <v>5.323333333333327</v>
      </c>
      <c r="Z69" s="19">
        <f t="shared" si="9"/>
        <v>9.5033333333333303</v>
      </c>
      <c r="AA69" s="44">
        <f t="shared" si="10"/>
        <v>3.5866666666666625</v>
      </c>
      <c r="AB69" s="23"/>
      <c r="AC69" s="42"/>
      <c r="AD69" s="19">
        <f t="shared" si="33"/>
        <v>-0.39755555555555722</v>
      </c>
      <c r="AE69" s="19">
        <f t="shared" si="14"/>
        <v>1.7568888888888932</v>
      </c>
      <c r="AF69" s="19">
        <f t="shared" si="15"/>
        <v>-1.3675555555555579</v>
      </c>
      <c r="AG69" s="19">
        <f t="shared" si="16"/>
        <v>-0.644777777777783</v>
      </c>
      <c r="AH69" s="19">
        <f t="shared" si="17"/>
        <v>0.34547619047618916</v>
      </c>
      <c r="AI69" s="44">
        <f t="shared" si="18"/>
        <v>-2.1058888888888907</v>
      </c>
      <c r="AJ69" s="23"/>
      <c r="AK69" s="42"/>
      <c r="AL69" s="19">
        <f t="shared" si="19"/>
        <v>0.15033333333332966</v>
      </c>
      <c r="AM69" s="19">
        <f t="shared" si="20"/>
        <v>2.3047777777777805</v>
      </c>
      <c r="AN69" s="19">
        <f t="shared" si="21"/>
        <v>-0.81966666666667143</v>
      </c>
      <c r="AO69" s="19">
        <f t="shared" si="22"/>
        <v>-9.6888888888895686E-2</v>
      </c>
      <c r="AP69" s="19">
        <f t="shared" si="23"/>
        <v>0.93423076923076387</v>
      </c>
      <c r="AQ69" s="19">
        <f t="shared" si="24"/>
        <v>-1.5580000000000043</v>
      </c>
      <c r="AR69" s="23"/>
      <c r="AS69" s="19"/>
      <c r="AT69" s="19">
        <f t="shared" si="32"/>
        <v>1.3172740826351674</v>
      </c>
      <c r="AU69" s="19">
        <f t="shared" si="32"/>
        <v>0.29588554258615157</v>
      </c>
      <c r="AV69" s="19">
        <f t="shared" si="25"/>
        <v>2.5803299480361646</v>
      </c>
      <c r="AW69" s="19">
        <f t="shared" si="25"/>
        <v>1.5634984378119601</v>
      </c>
      <c r="AX69" s="19">
        <f t="shared" si="25"/>
        <v>0.78704815264009664</v>
      </c>
      <c r="AY69" s="19">
        <f t="shared" si="25"/>
        <v>4.3046289595431872</v>
      </c>
      <c r="AZ69" s="23"/>
      <c r="BA69" s="19"/>
      <c r="BB69" s="19">
        <f t="shared" si="26"/>
        <v>0.90104225359262868</v>
      </c>
      <c r="BC69" s="19">
        <f t="shared" si="27"/>
        <v>0.20239172668148728</v>
      </c>
      <c r="BD69" s="19">
        <f t="shared" si="28"/>
        <v>1.7649981443041767</v>
      </c>
      <c r="BE69" s="19">
        <f t="shared" si="29"/>
        <v>1.0694647184406938</v>
      </c>
      <c r="BF69" s="19">
        <f t="shared" si="30"/>
        <v>0.52332142534497561</v>
      </c>
      <c r="BG69" s="19">
        <f t="shared" si="31"/>
        <v>2.9444537243363653</v>
      </c>
    </row>
    <row r="70" spans="1:59" x14ac:dyDescent="0.45">
      <c r="A70" s="19" t="s">
        <v>79</v>
      </c>
      <c r="B70" s="36">
        <v>10509147</v>
      </c>
      <c r="C70" s="38"/>
      <c r="D70" s="37">
        <v>28.27333333333333</v>
      </c>
      <c r="E70" s="37">
        <v>29.793333333333333</v>
      </c>
      <c r="F70" s="37">
        <v>26.546666666666667</v>
      </c>
      <c r="G70" s="37">
        <v>29</v>
      </c>
      <c r="H70" s="37">
        <v>32.11</v>
      </c>
      <c r="I70" s="37">
        <v>26.86</v>
      </c>
      <c r="J70" s="37">
        <v>25.763333333333332</v>
      </c>
      <c r="K70" s="40">
        <v>24.946666666666669</v>
      </c>
      <c r="L70" s="23"/>
      <c r="M70" s="42"/>
      <c r="N70" s="19">
        <f t="shared" si="0"/>
        <v>2.509999999999998</v>
      </c>
      <c r="O70" s="19">
        <f t="shared" si="1"/>
        <v>4.0300000000000011</v>
      </c>
      <c r="P70" s="19">
        <f t="shared" si="2"/>
        <v>0.78333333333333499</v>
      </c>
      <c r="Q70" s="19">
        <f t="shared" si="3"/>
        <v>3.2366666666666681</v>
      </c>
      <c r="R70" s="19">
        <f t="shared" si="4"/>
        <v>6.3466666666666676</v>
      </c>
      <c r="S70" s="44">
        <f t="shared" si="5"/>
        <v>1.0966666666666676</v>
      </c>
      <c r="T70" s="23"/>
      <c r="U70" s="42"/>
      <c r="V70" s="19">
        <f t="shared" si="13"/>
        <v>3.3266666666666609</v>
      </c>
      <c r="W70" s="19">
        <f t="shared" si="6"/>
        <v>4.846666666666664</v>
      </c>
      <c r="X70" s="19">
        <f t="shared" si="7"/>
        <v>1.5999999999999979</v>
      </c>
      <c r="Y70" s="19">
        <f t="shared" si="8"/>
        <v>4.053333333333331</v>
      </c>
      <c r="Z70" s="19">
        <f t="shared" si="9"/>
        <v>7.1633333333333304</v>
      </c>
      <c r="AA70" s="44">
        <f t="shared" si="10"/>
        <v>1.9133333333333304</v>
      </c>
      <c r="AB70" s="23"/>
      <c r="AC70" s="42"/>
      <c r="AD70" s="19">
        <f t="shared" si="33"/>
        <v>-1.2242222222222252</v>
      </c>
      <c r="AE70" s="19">
        <f t="shared" si="14"/>
        <v>5.6888888888890321E-2</v>
      </c>
      <c r="AF70" s="19">
        <f t="shared" si="15"/>
        <v>-1.6842222222222207</v>
      </c>
      <c r="AG70" s="19">
        <f t="shared" si="16"/>
        <v>-1.3581111111111106</v>
      </c>
      <c r="AH70" s="19">
        <f t="shared" si="17"/>
        <v>-1.4378571428571423</v>
      </c>
      <c r="AI70" s="44">
        <f t="shared" si="18"/>
        <v>-3.2225555555555543</v>
      </c>
      <c r="AJ70" s="23"/>
      <c r="AK70" s="42"/>
      <c r="AL70" s="19">
        <f t="shared" si="19"/>
        <v>-1.2330000000000068</v>
      </c>
      <c r="AM70" s="19">
        <f t="shared" si="20"/>
        <v>4.8111111111109217E-2</v>
      </c>
      <c r="AN70" s="19">
        <f t="shared" si="21"/>
        <v>-1.6930000000000027</v>
      </c>
      <c r="AO70" s="19">
        <f t="shared" si="22"/>
        <v>-1.3668888888888917</v>
      </c>
      <c r="AP70" s="19">
        <f t="shared" si="23"/>
        <v>-1.405769230769236</v>
      </c>
      <c r="AQ70" s="19">
        <f t="shared" si="24"/>
        <v>-3.2313333333333363</v>
      </c>
      <c r="AR70" s="23"/>
      <c r="AS70" s="19"/>
      <c r="AT70" s="19">
        <f t="shared" si="32"/>
        <v>2.3362946272974172</v>
      </c>
      <c r="AU70" s="19">
        <f t="shared" si="32"/>
        <v>0.96133496405106822</v>
      </c>
      <c r="AV70" s="19">
        <f t="shared" si="25"/>
        <v>3.2136709593427941</v>
      </c>
      <c r="AW70" s="19">
        <f t="shared" si="25"/>
        <v>2.5634932716216103</v>
      </c>
      <c r="AX70" s="19">
        <f t="shared" si="25"/>
        <v>2.7091816757397167</v>
      </c>
      <c r="AY70" s="19">
        <f t="shared" si="25"/>
        <v>9.3343887692287026</v>
      </c>
      <c r="AZ70" s="23"/>
      <c r="BA70" s="19"/>
      <c r="BB70" s="19">
        <f t="shared" si="26"/>
        <v>2.3505526568395525</v>
      </c>
      <c r="BC70" s="19">
        <f t="shared" si="27"/>
        <v>0.9672018363869358</v>
      </c>
      <c r="BD70" s="19">
        <f t="shared" si="28"/>
        <v>3.2332834752222741</v>
      </c>
      <c r="BE70" s="19">
        <f t="shared" si="29"/>
        <v>2.5791378578697604</v>
      </c>
      <c r="BF70" s="19">
        <f t="shared" si="30"/>
        <v>2.6495901795853136</v>
      </c>
      <c r="BG70" s="19">
        <f t="shared" si="31"/>
        <v>9.3913550393533765</v>
      </c>
    </row>
    <row r="71" spans="1:59" x14ac:dyDescent="0.45">
      <c r="A71" s="19" t="s">
        <v>79</v>
      </c>
      <c r="B71" s="36">
        <v>10539382</v>
      </c>
      <c r="C71" s="38"/>
      <c r="D71" s="37">
        <v>28.7</v>
      </c>
      <c r="E71" s="37">
        <v>32.755000000000003</v>
      </c>
      <c r="F71" s="37">
        <v>26.623333333333335</v>
      </c>
      <c r="G71" s="37">
        <v>28.830000000000002</v>
      </c>
      <c r="H71" s="37">
        <v>33.700000000000003</v>
      </c>
      <c r="I71" s="37">
        <v>28.026666666666667</v>
      </c>
      <c r="J71" s="37">
        <v>26.62</v>
      </c>
      <c r="K71" s="40">
        <v>27.496666666666666</v>
      </c>
      <c r="L71" s="23"/>
      <c r="M71" s="42"/>
      <c r="N71" s="19">
        <f t="shared" si="0"/>
        <v>2.0799999999999983</v>
      </c>
      <c r="O71" s="19">
        <f t="shared" si="1"/>
        <v>6.1350000000000016</v>
      </c>
      <c r="P71" s="19">
        <f t="shared" si="2"/>
        <v>3.3333333333338544E-3</v>
      </c>
      <c r="Q71" s="19">
        <f t="shared" si="3"/>
        <v>2.2100000000000009</v>
      </c>
      <c r="R71" s="19">
        <f t="shared" si="4"/>
        <v>7.0800000000000018</v>
      </c>
      <c r="S71" s="44">
        <f t="shared" si="5"/>
        <v>1.4066666666666663</v>
      </c>
      <c r="T71" s="23"/>
      <c r="U71" s="42"/>
      <c r="V71" s="19">
        <f t="shared" si="13"/>
        <v>1.2033333333333331</v>
      </c>
      <c r="W71" s="19">
        <f t="shared" si="6"/>
        <v>5.2583333333333364</v>
      </c>
      <c r="X71" s="19">
        <f t="shared" si="7"/>
        <v>-0.8733333333333313</v>
      </c>
      <c r="Y71" s="19">
        <f t="shared" si="8"/>
        <v>1.3333333333333357</v>
      </c>
      <c r="Z71" s="19">
        <f t="shared" si="9"/>
        <v>6.2033333333333367</v>
      </c>
      <c r="AA71" s="44">
        <f t="shared" si="10"/>
        <v>0.53000000000000114</v>
      </c>
      <c r="AB71" s="23"/>
      <c r="AC71" s="42"/>
      <c r="AD71" s="19">
        <f t="shared" si="33"/>
        <v>-1.6542222222222249</v>
      </c>
      <c r="AE71" s="19">
        <f t="shared" si="14"/>
        <v>2.1618888888888907</v>
      </c>
      <c r="AF71" s="19">
        <f t="shared" si="15"/>
        <v>-2.4642222222222219</v>
      </c>
      <c r="AG71" s="19">
        <f t="shared" si="16"/>
        <v>-2.3847777777777779</v>
      </c>
      <c r="AH71" s="19">
        <f t="shared" si="17"/>
        <v>-0.704523809523808</v>
      </c>
      <c r="AI71" s="44">
        <f t="shared" si="18"/>
        <v>-2.9125555555555556</v>
      </c>
      <c r="AJ71" s="23"/>
      <c r="AK71" s="42"/>
      <c r="AL71" s="19">
        <f t="shared" si="19"/>
        <v>-3.3563333333333345</v>
      </c>
      <c r="AM71" s="19">
        <f t="shared" si="20"/>
        <v>0.45977777777778162</v>
      </c>
      <c r="AN71" s="19">
        <f t="shared" si="21"/>
        <v>-4.1663333333333323</v>
      </c>
      <c r="AO71" s="19">
        <f t="shared" si="22"/>
        <v>-4.086888888888887</v>
      </c>
      <c r="AP71" s="19">
        <f t="shared" si="23"/>
        <v>-2.3657692307692297</v>
      </c>
      <c r="AQ71" s="19">
        <f t="shared" si="24"/>
        <v>-4.6146666666666656</v>
      </c>
      <c r="AR71" s="23"/>
      <c r="AS71" s="19"/>
      <c r="AT71" s="19">
        <f t="shared" si="32"/>
        <v>3.1475345673459936</v>
      </c>
      <c r="AU71" s="19">
        <f t="shared" si="32"/>
        <v>0.22346350027038234</v>
      </c>
      <c r="AV71" s="19">
        <f t="shared" si="25"/>
        <v>5.5182936195509651</v>
      </c>
      <c r="AW71" s="19">
        <f t="shared" si="25"/>
        <v>5.2226346298475637</v>
      </c>
      <c r="AX71" s="19">
        <f t="shared" si="25"/>
        <v>1.6296066916048897</v>
      </c>
      <c r="AY71" s="19">
        <f t="shared" si="25"/>
        <v>7.5295077780739037</v>
      </c>
      <c r="AZ71" s="23"/>
      <c r="BA71" s="19"/>
      <c r="BB71" s="19">
        <f t="shared" si="26"/>
        <v>10.241345290619675</v>
      </c>
      <c r="BC71" s="19">
        <f t="shared" si="27"/>
        <v>0.7270982469460826</v>
      </c>
      <c r="BD71" s="19">
        <f t="shared" si="28"/>
        <v>17.955243751460454</v>
      </c>
      <c r="BE71" s="19">
        <f t="shared" si="29"/>
        <v>16.99323817629007</v>
      </c>
      <c r="BF71" s="19">
        <f t="shared" si="30"/>
        <v>5.1542739935773003</v>
      </c>
      <c r="BG71" s="19">
        <f t="shared" si="31"/>
        <v>24.499266766967605</v>
      </c>
    </row>
    <row r="72" spans="1:59" x14ac:dyDescent="0.45">
      <c r="A72" s="19" t="s">
        <v>79</v>
      </c>
      <c r="B72" s="36">
        <v>10539885</v>
      </c>
      <c r="C72" s="38"/>
      <c r="D72" s="37">
        <v>27.58</v>
      </c>
      <c r="E72" s="37">
        <v>32.383333333333333</v>
      </c>
      <c r="F72" s="37">
        <v>25.136666666666667</v>
      </c>
      <c r="G72" s="37">
        <v>29.34</v>
      </c>
      <c r="H72" s="37">
        <v>35.034999999999997</v>
      </c>
      <c r="I72" s="37">
        <v>26.593333333333334</v>
      </c>
      <c r="J72" s="37">
        <v>23.72</v>
      </c>
      <c r="K72" s="40">
        <v>22.276666666666667</v>
      </c>
      <c r="L72" s="23"/>
      <c r="M72" s="42"/>
      <c r="N72" s="19">
        <f t="shared" si="0"/>
        <v>3.8599999999999994</v>
      </c>
      <c r="O72" s="19">
        <f t="shared" si="1"/>
        <v>8.663333333333334</v>
      </c>
      <c r="P72" s="19">
        <f t="shared" si="2"/>
        <v>1.4166666666666679</v>
      </c>
      <c r="Q72" s="19">
        <f t="shared" si="3"/>
        <v>5.620000000000001</v>
      </c>
      <c r="R72" s="19">
        <f t="shared" si="4"/>
        <v>11.314999999999998</v>
      </c>
      <c r="S72" s="44">
        <f t="shared" si="5"/>
        <v>2.8733333333333348</v>
      </c>
      <c r="T72" s="23"/>
      <c r="U72" s="42"/>
      <c r="V72" s="19">
        <f t="shared" si="13"/>
        <v>5.303333333333331</v>
      </c>
      <c r="W72" s="19">
        <f t="shared" si="6"/>
        <v>10.106666666666666</v>
      </c>
      <c r="X72" s="19">
        <f t="shared" si="7"/>
        <v>2.8599999999999994</v>
      </c>
      <c r="Y72" s="19">
        <f t="shared" si="8"/>
        <v>7.0633333333333326</v>
      </c>
      <c r="Z72" s="19">
        <f t="shared" si="9"/>
        <v>12.758333333333329</v>
      </c>
      <c r="AA72" s="44">
        <f t="shared" si="10"/>
        <v>4.3166666666666664</v>
      </c>
      <c r="AB72" s="23"/>
      <c r="AC72" s="42"/>
      <c r="AD72" s="19">
        <f t="shared" si="33"/>
        <v>0.12577777777777621</v>
      </c>
      <c r="AE72" s="19">
        <f t="shared" si="14"/>
        <v>4.6902222222222232</v>
      </c>
      <c r="AF72" s="19">
        <f t="shared" si="15"/>
        <v>-1.0508888888888879</v>
      </c>
      <c r="AG72" s="19">
        <f t="shared" si="16"/>
        <v>1.0252222222222223</v>
      </c>
      <c r="AH72" s="19">
        <f t="shared" si="17"/>
        <v>3.5304761904761879</v>
      </c>
      <c r="AI72" s="44">
        <f t="shared" si="18"/>
        <v>-1.445888888888887</v>
      </c>
      <c r="AJ72" s="23"/>
      <c r="AK72" s="42"/>
      <c r="AL72" s="19">
        <f t="shared" si="19"/>
        <v>0.74366666666666337</v>
      </c>
      <c r="AM72" s="19">
        <f t="shared" si="20"/>
        <v>5.3081111111111108</v>
      </c>
      <c r="AN72" s="19">
        <f t="shared" si="21"/>
        <v>-0.43300000000000116</v>
      </c>
      <c r="AO72" s="19">
        <f t="shared" si="22"/>
        <v>1.6431111111111099</v>
      </c>
      <c r="AP72" s="19">
        <f t="shared" si="23"/>
        <v>4.1892307692307629</v>
      </c>
      <c r="AQ72" s="19">
        <f t="shared" si="24"/>
        <v>-0.82800000000000029</v>
      </c>
      <c r="AR72" s="23"/>
      <c r="AS72" s="19"/>
      <c r="AT72" s="19">
        <f t="shared" si="32"/>
        <v>0.91650980628958378</v>
      </c>
      <c r="AU72" s="19">
        <f t="shared" si="32"/>
        <v>3.8734898722258687E-2</v>
      </c>
      <c r="AV72" s="19">
        <f t="shared" si="25"/>
        <v>2.071805958035569</v>
      </c>
      <c r="AW72" s="19">
        <f t="shared" si="25"/>
        <v>0.49133461184340305</v>
      </c>
      <c r="AX72" s="19">
        <f t="shared" si="25"/>
        <v>8.6540772522040219E-2</v>
      </c>
      <c r="AY72" s="19">
        <f t="shared" si="25"/>
        <v>2.7243062450686004</v>
      </c>
      <c r="AZ72" s="23"/>
      <c r="BA72" s="19"/>
      <c r="BB72" s="19">
        <f t="shared" si="26"/>
        <v>0.59721956461676795</v>
      </c>
      <c r="BC72" s="19">
        <f t="shared" si="27"/>
        <v>2.5240580287989482E-2</v>
      </c>
      <c r="BD72" s="19">
        <f t="shared" si="28"/>
        <v>1.3500379851227469</v>
      </c>
      <c r="BE72" s="19">
        <f t="shared" si="29"/>
        <v>0.32016530641850116</v>
      </c>
      <c r="BF72" s="19">
        <f t="shared" si="30"/>
        <v>5.4817077716897908E-2</v>
      </c>
      <c r="BG72" s="19">
        <f t="shared" si="31"/>
        <v>1.7752226745389958</v>
      </c>
    </row>
    <row r="73" spans="1:59" x14ac:dyDescent="0.45">
      <c r="A73" s="19" t="s">
        <v>79</v>
      </c>
      <c r="B73" s="36">
        <v>10538347</v>
      </c>
      <c r="C73" s="38"/>
      <c r="D73" s="37">
        <v>29.82</v>
      </c>
      <c r="E73" s="37">
        <v>33.913333333333334</v>
      </c>
      <c r="F73" s="37">
        <v>27.403333333333336</v>
      </c>
      <c r="G73" s="37">
        <v>29.935000000000002</v>
      </c>
      <c r="H73" s="37">
        <v>36.144999999999996</v>
      </c>
      <c r="I73" s="37">
        <v>28.496666666666666</v>
      </c>
      <c r="J73" s="37">
        <v>28.606666666666666</v>
      </c>
      <c r="K73" s="40">
        <v>27.58</v>
      </c>
      <c r="L73" s="23"/>
      <c r="M73" s="42"/>
      <c r="N73" s="19">
        <f t="shared" si="0"/>
        <v>1.2133333333333347</v>
      </c>
      <c r="O73" s="19">
        <f t="shared" si="1"/>
        <v>5.3066666666666684</v>
      </c>
      <c r="P73" s="19">
        <f t="shared" si="2"/>
        <v>-1.2033333333333296</v>
      </c>
      <c r="Q73" s="19">
        <f t="shared" si="3"/>
        <v>1.3283333333333367</v>
      </c>
      <c r="R73" s="19">
        <f t="shared" si="4"/>
        <v>7.5383333333333304</v>
      </c>
      <c r="S73" s="44">
        <f t="shared" si="5"/>
        <v>-0.10999999999999943</v>
      </c>
      <c r="T73" s="23"/>
      <c r="U73" s="42"/>
      <c r="V73" s="19">
        <f t="shared" si="13"/>
        <v>2.240000000000002</v>
      </c>
      <c r="W73" s="19">
        <f t="shared" si="6"/>
        <v>6.3333333333333357</v>
      </c>
      <c r="X73" s="19">
        <f t="shared" si="7"/>
        <v>-0.17666666666666231</v>
      </c>
      <c r="Y73" s="19">
        <f t="shared" si="8"/>
        <v>2.355000000000004</v>
      </c>
      <c r="Z73" s="19">
        <f t="shared" si="9"/>
        <v>8.5649999999999977</v>
      </c>
      <c r="AA73" s="44">
        <f t="shared" si="10"/>
        <v>0.91666666666666785</v>
      </c>
      <c r="AB73" s="23"/>
      <c r="AC73" s="42"/>
      <c r="AD73" s="19">
        <f t="shared" si="33"/>
        <v>-2.5208888888888885</v>
      </c>
      <c r="AE73" s="19">
        <f t="shared" si="14"/>
        <v>1.3335555555555576</v>
      </c>
      <c r="AF73" s="19">
        <f t="shared" si="15"/>
        <v>-3.6708888888888853</v>
      </c>
      <c r="AG73" s="19">
        <f t="shared" si="16"/>
        <v>-3.266444444444442</v>
      </c>
      <c r="AH73" s="19">
        <f t="shared" si="17"/>
        <v>-0.2461904761904794</v>
      </c>
      <c r="AI73" s="44">
        <f t="shared" si="18"/>
        <v>-4.4292222222222213</v>
      </c>
      <c r="AJ73" s="23"/>
      <c r="AK73" s="42"/>
      <c r="AL73" s="19">
        <f t="shared" si="19"/>
        <v>-2.3196666666666657</v>
      </c>
      <c r="AM73" s="19">
        <f t="shared" si="20"/>
        <v>1.5347777777777809</v>
      </c>
      <c r="AN73" s="19">
        <f t="shared" si="21"/>
        <v>-3.4696666666666629</v>
      </c>
      <c r="AO73" s="19">
        <f t="shared" si="22"/>
        <v>-3.0652222222222187</v>
      </c>
      <c r="AP73" s="19">
        <f t="shared" si="23"/>
        <v>-4.1025641025687065E-3</v>
      </c>
      <c r="AQ73" s="19">
        <f t="shared" si="24"/>
        <v>-4.2279999999999989</v>
      </c>
      <c r="AR73" s="23"/>
      <c r="AS73" s="19"/>
      <c r="AT73" s="19">
        <f t="shared" si="32"/>
        <v>5.739356097127386</v>
      </c>
      <c r="AU73" s="19">
        <f t="shared" si="32"/>
        <v>0.39678913977945768</v>
      </c>
      <c r="AV73" s="19">
        <f t="shared" si="25"/>
        <v>12.736428629397974</v>
      </c>
      <c r="AW73" s="19">
        <f t="shared" si="25"/>
        <v>9.6227179612021398</v>
      </c>
      <c r="AX73" s="19">
        <f t="shared" si="25"/>
        <v>1.1860710837077961</v>
      </c>
      <c r="AY73" s="19">
        <f t="shared" si="25"/>
        <v>21.544119351882131</v>
      </c>
      <c r="AZ73" s="23"/>
      <c r="BA73" s="19"/>
      <c r="BB73" s="19">
        <f t="shared" si="26"/>
        <v>4.9921686264766025</v>
      </c>
      <c r="BC73" s="19">
        <f t="shared" si="27"/>
        <v>0.34513249594759937</v>
      </c>
      <c r="BD73" s="19">
        <f t="shared" si="28"/>
        <v>11.078315814706588</v>
      </c>
      <c r="BE73" s="19">
        <f t="shared" si="29"/>
        <v>8.3699686679817482</v>
      </c>
      <c r="BF73" s="19">
        <f t="shared" si="30"/>
        <v>1.0028477278361461</v>
      </c>
      <c r="BG73" s="19">
        <f t="shared" si="31"/>
        <v>18.739362899500943</v>
      </c>
    </row>
    <row r="74" spans="1:59" x14ac:dyDescent="0.45">
      <c r="A74" s="19" t="s">
        <v>79</v>
      </c>
      <c r="B74" s="36">
        <v>10516670</v>
      </c>
      <c r="C74" s="38"/>
      <c r="D74" s="37">
        <v>31.17</v>
      </c>
      <c r="E74" s="37">
        <v>31.406666666666666</v>
      </c>
      <c r="F74" s="37">
        <v>30.363333333333333</v>
      </c>
      <c r="G74" s="37">
        <v>31.983333333333334</v>
      </c>
      <c r="H74" s="37">
        <v>34.353333333333332</v>
      </c>
      <c r="I74" s="37">
        <v>31.483333333333331</v>
      </c>
      <c r="J74" s="37">
        <v>26.97</v>
      </c>
      <c r="K74" s="40">
        <v>26.796666666666667</v>
      </c>
      <c r="L74" s="23"/>
      <c r="M74" s="42"/>
      <c r="N74" s="19">
        <f t="shared" si="0"/>
        <v>4.2000000000000028</v>
      </c>
      <c r="O74" s="19">
        <f t="shared" si="1"/>
        <v>4.4366666666666674</v>
      </c>
      <c r="P74" s="19">
        <f t="shared" si="2"/>
        <v>3.3933333333333344</v>
      </c>
      <c r="Q74" s="19">
        <f t="shared" si="3"/>
        <v>5.0133333333333354</v>
      </c>
      <c r="R74" s="19">
        <f t="shared" si="4"/>
        <v>7.3833333333333329</v>
      </c>
      <c r="S74" s="44">
        <f t="shared" si="5"/>
        <v>4.5133333333333319</v>
      </c>
      <c r="T74" s="23"/>
      <c r="U74" s="42"/>
      <c r="V74" s="19">
        <f t="shared" si="13"/>
        <v>4.3733333333333348</v>
      </c>
      <c r="W74" s="19">
        <f t="shared" si="6"/>
        <v>4.6099999999999994</v>
      </c>
      <c r="X74" s="19">
        <f t="shared" si="7"/>
        <v>3.5666666666666664</v>
      </c>
      <c r="Y74" s="19">
        <f t="shared" si="8"/>
        <v>5.1866666666666674</v>
      </c>
      <c r="Z74" s="19">
        <f t="shared" si="9"/>
        <v>7.5566666666666649</v>
      </c>
      <c r="AA74" s="44">
        <f t="shared" si="10"/>
        <v>4.6866666666666639</v>
      </c>
      <c r="AB74" s="23"/>
      <c r="AC74" s="42"/>
      <c r="AD74" s="19">
        <f t="shared" si="33"/>
        <v>0.46577777777777962</v>
      </c>
      <c r="AE74" s="19">
        <f t="shared" si="14"/>
        <v>0.46355555555555661</v>
      </c>
      <c r="AF74" s="19">
        <f t="shared" si="15"/>
        <v>0.9257777777777787</v>
      </c>
      <c r="AG74" s="19">
        <f t="shared" si="16"/>
        <v>0.41855555555555668</v>
      </c>
      <c r="AH74" s="19">
        <f t="shared" si="17"/>
        <v>-0.40119047619047699</v>
      </c>
      <c r="AI74" s="44">
        <f t="shared" si="18"/>
        <v>0.19411111111111001</v>
      </c>
      <c r="AJ74" s="23"/>
      <c r="AK74" s="42"/>
      <c r="AL74" s="19">
        <f t="shared" si="19"/>
        <v>-0.1863333333333328</v>
      </c>
      <c r="AM74" s="19">
        <f t="shared" si="20"/>
        <v>-0.18855555555555537</v>
      </c>
      <c r="AN74" s="19">
        <f t="shared" si="21"/>
        <v>0.27366666666666584</v>
      </c>
      <c r="AO74" s="19">
        <f t="shared" si="22"/>
        <v>-0.23355555555555529</v>
      </c>
      <c r="AP74" s="19">
        <f t="shared" si="23"/>
        <v>-1.0124358974359016</v>
      </c>
      <c r="AQ74" s="19">
        <f t="shared" si="24"/>
        <v>-0.45800000000000285</v>
      </c>
      <c r="AR74" s="23"/>
      <c r="AS74" s="19"/>
      <c r="AT74" s="19">
        <f t="shared" si="32"/>
        <v>0.72408060969667076</v>
      </c>
      <c r="AU74" s="19">
        <f t="shared" si="32"/>
        <v>0.7251967900798767</v>
      </c>
      <c r="AV74" s="19">
        <f t="shared" si="25"/>
        <v>0.52639665341174713</v>
      </c>
      <c r="AW74" s="19">
        <f t="shared" si="25"/>
        <v>0.74817333000874742</v>
      </c>
      <c r="AX74" s="19">
        <f t="shared" si="25"/>
        <v>1.320597185356184</v>
      </c>
      <c r="AY74" s="19">
        <f t="shared" si="25"/>
        <v>0.87411129695335033</v>
      </c>
      <c r="AZ74" s="23"/>
      <c r="BA74" s="19"/>
      <c r="BB74" s="19">
        <f t="shared" si="26"/>
        <v>1.1378681008583764</v>
      </c>
      <c r="BC74" s="19">
        <f t="shared" si="27"/>
        <v>1.1396221404443636</v>
      </c>
      <c r="BD74" s="19">
        <f t="shared" si="28"/>
        <v>0.82721447349176813</v>
      </c>
      <c r="BE74" s="19">
        <f t="shared" si="29"/>
        <v>1.1757289930558608</v>
      </c>
      <c r="BF74" s="19">
        <f t="shared" si="30"/>
        <v>2.0173143312470625</v>
      </c>
      <c r="BG74" s="19">
        <f t="shared" si="31"/>
        <v>1.373636233429625</v>
      </c>
    </row>
    <row r="75" spans="1:59" x14ac:dyDescent="0.45">
      <c r="A75" s="19" t="s">
        <v>79</v>
      </c>
      <c r="B75" s="36">
        <v>10540539</v>
      </c>
      <c r="C75" s="38"/>
      <c r="D75" s="37">
        <v>28.816666666666666</v>
      </c>
      <c r="E75" s="37">
        <v>33.385000000000005</v>
      </c>
      <c r="F75" s="37">
        <v>26.786666666666665</v>
      </c>
      <c r="G75" s="37">
        <v>30</v>
      </c>
      <c r="H75" s="37">
        <v>31.776666666666667</v>
      </c>
      <c r="I75" s="37">
        <v>28.340000000000003</v>
      </c>
      <c r="J75" s="37">
        <v>25.74</v>
      </c>
      <c r="K75" s="40">
        <v>25.256666666666664</v>
      </c>
      <c r="L75" s="23"/>
      <c r="M75" s="42"/>
      <c r="N75" s="19">
        <f t="shared" si="0"/>
        <v>3.076666666666668</v>
      </c>
      <c r="O75" s="19">
        <f t="shared" si="1"/>
        <v>7.6450000000000067</v>
      </c>
      <c r="P75" s="19">
        <f t="shared" si="2"/>
        <v>1.0466666666666669</v>
      </c>
      <c r="Q75" s="19">
        <f t="shared" si="3"/>
        <v>4.2600000000000016</v>
      </c>
      <c r="R75" s="19">
        <f t="shared" si="4"/>
        <v>6.0366666666666688</v>
      </c>
      <c r="S75" s="44">
        <f t="shared" si="5"/>
        <v>2.600000000000005</v>
      </c>
      <c r="T75" s="23"/>
      <c r="U75" s="42"/>
      <c r="V75" s="19">
        <f t="shared" si="13"/>
        <v>3.5600000000000023</v>
      </c>
      <c r="W75" s="19">
        <f t="shared" si="6"/>
        <v>8.128333333333341</v>
      </c>
      <c r="X75" s="19">
        <f t="shared" si="7"/>
        <v>1.5300000000000011</v>
      </c>
      <c r="Y75" s="19">
        <f t="shared" si="8"/>
        <v>4.7433333333333358</v>
      </c>
      <c r="Z75" s="19">
        <f t="shared" si="9"/>
        <v>6.5200000000000031</v>
      </c>
      <c r="AA75" s="44">
        <f t="shared" si="10"/>
        <v>3.0833333333333393</v>
      </c>
      <c r="AB75" s="23"/>
      <c r="AC75" s="42"/>
      <c r="AD75" s="19">
        <f t="shared" si="33"/>
        <v>-0.65755555555555523</v>
      </c>
      <c r="AE75" s="19">
        <f t="shared" si="14"/>
        <v>3.6718888888888959</v>
      </c>
      <c r="AF75" s="19">
        <f t="shared" si="15"/>
        <v>-1.4208888888888889</v>
      </c>
      <c r="AG75" s="19">
        <f t="shared" si="16"/>
        <v>-0.33477777777777717</v>
      </c>
      <c r="AH75" s="19">
        <f t="shared" si="17"/>
        <v>-1.747857142857141</v>
      </c>
      <c r="AI75" s="44">
        <f t="shared" si="18"/>
        <v>-1.7192222222222169</v>
      </c>
      <c r="AJ75" s="23"/>
      <c r="AK75" s="42"/>
      <c r="AL75" s="19">
        <f t="shared" si="19"/>
        <v>-0.99966666666666537</v>
      </c>
      <c r="AM75" s="19">
        <f t="shared" si="20"/>
        <v>3.3297777777777862</v>
      </c>
      <c r="AN75" s="19">
        <f t="shared" si="21"/>
        <v>-1.7629999999999995</v>
      </c>
      <c r="AO75" s="19">
        <f t="shared" si="22"/>
        <v>-0.67688888888888687</v>
      </c>
      <c r="AP75" s="19">
        <f t="shared" si="23"/>
        <v>-2.0491025641025633</v>
      </c>
      <c r="AQ75" s="19">
        <f t="shared" si="24"/>
        <v>-2.0613333333333275</v>
      </c>
      <c r="AR75" s="23"/>
      <c r="AS75" s="19"/>
      <c r="AT75" s="19">
        <f t="shared" si="32"/>
        <v>1.5774076621020456</v>
      </c>
      <c r="AU75" s="19">
        <f t="shared" si="32"/>
        <v>7.8460541967303468E-2</v>
      </c>
      <c r="AV75" s="19">
        <f t="shared" si="25"/>
        <v>2.6775042943988909</v>
      </c>
      <c r="AW75" s="19">
        <f t="shared" si="25"/>
        <v>1.2611831304176806</v>
      </c>
      <c r="AX75" s="19">
        <f t="shared" si="25"/>
        <v>3.3585933839481301</v>
      </c>
      <c r="AY75" s="19">
        <f t="shared" si="25"/>
        <v>3.2925885083770199</v>
      </c>
      <c r="AZ75" s="23"/>
      <c r="BA75" s="19"/>
      <c r="BB75" s="19">
        <f t="shared" si="26"/>
        <v>1.9995379552591819</v>
      </c>
      <c r="BC75" s="19">
        <f t="shared" si="27"/>
        <v>9.9457378978852692E-2</v>
      </c>
      <c r="BD75" s="19">
        <f t="shared" si="28"/>
        <v>3.3940316068235834</v>
      </c>
      <c r="BE75" s="19">
        <f t="shared" si="29"/>
        <v>1.5986885308026375</v>
      </c>
      <c r="BF75" s="19">
        <f t="shared" si="30"/>
        <v>4.1384845288365408</v>
      </c>
      <c r="BG75" s="19">
        <f t="shared" si="31"/>
        <v>4.1737185964829919</v>
      </c>
    </row>
    <row r="76" spans="1:59" x14ac:dyDescent="0.45">
      <c r="A76" s="19" t="s">
        <v>79</v>
      </c>
      <c r="B76" s="36">
        <v>10538507</v>
      </c>
      <c r="C76" s="38"/>
      <c r="D76" s="37">
        <v>28.150000000000002</v>
      </c>
      <c r="E76" s="37">
        <v>31.540000000000003</v>
      </c>
      <c r="F76" s="37">
        <v>26.62</v>
      </c>
      <c r="G76" s="37">
        <v>28.7</v>
      </c>
      <c r="H76" s="37">
        <v>32.076666666666661</v>
      </c>
      <c r="I76" s="37">
        <v>28.12</v>
      </c>
      <c r="J76" s="37">
        <v>25.346666666666664</v>
      </c>
      <c r="K76" s="40">
        <v>24.01</v>
      </c>
      <c r="L76" s="23"/>
      <c r="M76" s="42"/>
      <c r="N76" s="19">
        <f t="shared" si="0"/>
        <v>2.8033333333333381</v>
      </c>
      <c r="O76" s="19">
        <f t="shared" si="1"/>
        <v>6.1933333333333387</v>
      </c>
      <c r="P76" s="19">
        <f t="shared" si="2"/>
        <v>1.273333333333337</v>
      </c>
      <c r="Q76" s="19">
        <f t="shared" si="3"/>
        <v>3.3533333333333353</v>
      </c>
      <c r="R76" s="19">
        <f t="shared" si="4"/>
        <v>6.7299999999999969</v>
      </c>
      <c r="S76" s="44">
        <f t="shared" si="5"/>
        <v>2.773333333333337</v>
      </c>
      <c r="T76" s="23"/>
      <c r="U76" s="42"/>
      <c r="V76" s="19">
        <f t="shared" si="13"/>
        <v>4.1400000000000006</v>
      </c>
      <c r="W76" s="19">
        <f t="shared" si="6"/>
        <v>7.5300000000000011</v>
      </c>
      <c r="X76" s="19">
        <f t="shared" si="7"/>
        <v>2.6099999999999994</v>
      </c>
      <c r="Y76" s="19">
        <f t="shared" si="8"/>
        <v>4.6899999999999977</v>
      </c>
      <c r="Z76" s="19">
        <f t="shared" si="9"/>
        <v>8.0666666666666593</v>
      </c>
      <c r="AA76" s="44">
        <f t="shared" si="10"/>
        <v>4.1099999999999994</v>
      </c>
      <c r="AB76" s="23"/>
      <c r="AC76" s="42"/>
      <c r="AD76" s="19">
        <f t="shared" si="33"/>
        <v>-0.9308888888888851</v>
      </c>
      <c r="AE76" s="19">
        <f t="shared" si="14"/>
        <v>2.2202222222222279</v>
      </c>
      <c r="AF76" s="19">
        <f t="shared" si="15"/>
        <v>-1.1942222222222187</v>
      </c>
      <c r="AG76" s="19">
        <f t="shared" si="16"/>
        <v>-1.2414444444444435</v>
      </c>
      <c r="AH76" s="19">
        <f t="shared" si="17"/>
        <v>-1.054523809523813</v>
      </c>
      <c r="AI76" s="44">
        <f t="shared" si="18"/>
        <v>-1.5458888888888849</v>
      </c>
      <c r="AJ76" s="23"/>
      <c r="AK76" s="42"/>
      <c r="AL76" s="19">
        <f t="shared" si="19"/>
        <v>-0.41966666666666708</v>
      </c>
      <c r="AM76" s="19">
        <f t="shared" si="20"/>
        <v>2.7314444444444463</v>
      </c>
      <c r="AN76" s="19">
        <f t="shared" si="21"/>
        <v>-0.68300000000000116</v>
      </c>
      <c r="AO76" s="19">
        <f t="shared" si="22"/>
        <v>-0.73022222222222499</v>
      </c>
      <c r="AP76" s="19">
        <f t="shared" si="23"/>
        <v>-0.50243589743590711</v>
      </c>
      <c r="AQ76" s="19">
        <f t="shared" si="24"/>
        <v>-1.0346666666666673</v>
      </c>
      <c r="AR76" s="23"/>
      <c r="AS76" s="19"/>
      <c r="AT76" s="19">
        <f t="shared" si="32"/>
        <v>1.906450257075365</v>
      </c>
      <c r="AU76" s="19">
        <f t="shared" si="32"/>
        <v>0.21460829986607244</v>
      </c>
      <c r="AV76" s="19">
        <f t="shared" si="25"/>
        <v>2.2882143791183642</v>
      </c>
      <c r="AW76" s="19">
        <f t="shared" si="25"/>
        <v>2.364351356565209</v>
      </c>
      <c r="AX76" s="19">
        <f t="shared" si="25"/>
        <v>2.0770325271356027</v>
      </c>
      <c r="AY76" s="19">
        <f t="shared" si="25"/>
        <v>2.9198391372864165</v>
      </c>
      <c r="AZ76" s="23"/>
      <c r="BA76" s="19"/>
      <c r="BB76" s="19">
        <f t="shared" si="26"/>
        <v>1.3376184635909714</v>
      </c>
      <c r="BC76" s="19">
        <f t="shared" si="27"/>
        <v>0.15057514523410825</v>
      </c>
      <c r="BD76" s="19">
        <f t="shared" si="28"/>
        <v>1.6054747774319083</v>
      </c>
      <c r="BE76" s="19">
        <f t="shared" si="29"/>
        <v>1.6588945959752677</v>
      </c>
      <c r="BF76" s="19">
        <f t="shared" si="30"/>
        <v>1.4166033876363864</v>
      </c>
      <c r="BG76" s="19">
        <f t="shared" si="31"/>
        <v>2.0486402549738543</v>
      </c>
    </row>
    <row r="77" spans="1:59" x14ac:dyDescent="0.45">
      <c r="A77" s="19" t="s">
        <v>79</v>
      </c>
      <c r="B77" s="36">
        <v>10535209</v>
      </c>
      <c r="C77" s="38"/>
      <c r="D77" s="37">
        <v>29.689999999999998</v>
      </c>
      <c r="E77" s="37">
        <v>31.046666666666667</v>
      </c>
      <c r="F77" s="37">
        <v>26.683333333333334</v>
      </c>
      <c r="G77" s="37">
        <v>29.653333333333336</v>
      </c>
      <c r="H77" s="37">
        <v>35.01</v>
      </c>
      <c r="I77" s="37">
        <v>28.036666666666665</v>
      </c>
      <c r="J77" s="37">
        <v>26.433333333333337</v>
      </c>
      <c r="K77" s="40">
        <v>25.286666666666665</v>
      </c>
      <c r="L77" s="23"/>
      <c r="M77" s="42"/>
      <c r="N77" s="19">
        <f t="shared" si="0"/>
        <v>3.2566666666666606</v>
      </c>
      <c r="O77" s="19">
        <f t="shared" si="1"/>
        <v>4.6133333333333297</v>
      </c>
      <c r="P77" s="19">
        <f t="shared" si="2"/>
        <v>0.24999999999999645</v>
      </c>
      <c r="Q77" s="19">
        <f t="shared" si="3"/>
        <v>3.2199999999999989</v>
      </c>
      <c r="R77" s="19">
        <f t="shared" si="4"/>
        <v>8.5766666666666609</v>
      </c>
      <c r="S77" s="44">
        <f t="shared" si="5"/>
        <v>1.6033333333333282</v>
      </c>
      <c r="T77" s="23"/>
      <c r="U77" s="42"/>
      <c r="V77" s="19">
        <f t="shared" si="13"/>
        <v>4.4033333333333324</v>
      </c>
      <c r="W77" s="19">
        <f t="shared" si="6"/>
        <v>5.7600000000000016</v>
      </c>
      <c r="X77" s="19">
        <f t="shared" si="7"/>
        <v>1.3966666666666683</v>
      </c>
      <c r="Y77" s="19">
        <f t="shared" si="8"/>
        <v>4.3666666666666707</v>
      </c>
      <c r="Z77" s="19">
        <f t="shared" si="9"/>
        <v>9.7233333333333327</v>
      </c>
      <c r="AA77" s="44">
        <f t="shared" si="10"/>
        <v>2.75</v>
      </c>
      <c r="AB77" s="23"/>
      <c r="AC77" s="42"/>
      <c r="AD77" s="19">
        <f t="shared" si="33"/>
        <v>-0.47755555555556262</v>
      </c>
      <c r="AE77" s="19">
        <f t="shared" si="14"/>
        <v>0.64022222222221892</v>
      </c>
      <c r="AF77" s="19">
        <f t="shared" si="15"/>
        <v>-2.2175555555555593</v>
      </c>
      <c r="AG77" s="19">
        <f t="shared" si="16"/>
        <v>-1.3747777777777799</v>
      </c>
      <c r="AH77" s="19">
        <f t="shared" si="17"/>
        <v>0.79214285714285104</v>
      </c>
      <c r="AI77" s="44">
        <f t="shared" si="18"/>
        <v>-2.7158888888888937</v>
      </c>
      <c r="AJ77" s="23"/>
      <c r="AK77" s="42"/>
      <c r="AL77" s="19">
        <f t="shared" si="19"/>
        <v>-0.15633333333333521</v>
      </c>
      <c r="AM77" s="19">
        <f t="shared" si="20"/>
        <v>0.96144444444444677</v>
      </c>
      <c r="AN77" s="19">
        <f t="shared" si="21"/>
        <v>-1.8963333333333323</v>
      </c>
      <c r="AO77" s="19">
        <f t="shared" si="22"/>
        <v>-1.053555555555552</v>
      </c>
      <c r="AP77" s="19">
        <f t="shared" si="23"/>
        <v>1.1542307692307663</v>
      </c>
      <c r="AQ77" s="19">
        <f t="shared" si="24"/>
        <v>-2.3946666666666667</v>
      </c>
      <c r="AR77" s="23"/>
      <c r="AS77" s="19"/>
      <c r="AT77" s="19">
        <f t="shared" si="32"/>
        <v>1.3923824697093197</v>
      </c>
      <c r="AU77" s="19">
        <f t="shared" si="32"/>
        <v>0.64161411161124371</v>
      </c>
      <c r="AV77" s="19">
        <f t="shared" si="25"/>
        <v>4.6510471187123503</v>
      </c>
      <c r="AW77" s="19">
        <f t="shared" si="25"/>
        <v>2.5932796286556021</v>
      </c>
      <c r="AX77" s="19">
        <f t="shared" si="25"/>
        <v>0.57748570621851891</v>
      </c>
      <c r="AY77" s="19">
        <f t="shared" si="25"/>
        <v>6.5699795906611138</v>
      </c>
      <c r="AZ77" s="23"/>
      <c r="BA77" s="19"/>
      <c r="BB77" s="19">
        <f t="shared" si="26"/>
        <v>1.1144511139573843</v>
      </c>
      <c r="BC77" s="19">
        <f t="shared" si="27"/>
        <v>0.51354249063851287</v>
      </c>
      <c r="BD77" s="19">
        <f t="shared" si="28"/>
        <v>3.7226586482371946</v>
      </c>
      <c r="BE77" s="19">
        <f t="shared" si="29"/>
        <v>2.0756390099924009</v>
      </c>
      <c r="BF77" s="19">
        <f t="shared" si="30"/>
        <v>0.44930568794853559</v>
      </c>
      <c r="BG77" s="19">
        <f t="shared" si="31"/>
        <v>5.2585559160466291</v>
      </c>
    </row>
    <row r="78" spans="1:59" x14ac:dyDescent="0.45">
      <c r="A78" s="19" t="s">
        <v>79</v>
      </c>
      <c r="B78" s="36">
        <v>10543865</v>
      </c>
      <c r="C78" s="38"/>
      <c r="D78" s="37">
        <v>29.25</v>
      </c>
      <c r="E78" s="37">
        <v>30.57</v>
      </c>
      <c r="F78" s="37">
        <v>25.826666666666668</v>
      </c>
      <c r="G78" s="37">
        <v>30.373333333333335</v>
      </c>
      <c r="H78" s="37">
        <v>35.913333333333334</v>
      </c>
      <c r="I78" s="37">
        <v>28.776666666666667</v>
      </c>
      <c r="J78" s="37">
        <v>27.036666666666672</v>
      </c>
      <c r="K78" s="40">
        <v>25.899999999999995</v>
      </c>
      <c r="L78" s="23"/>
      <c r="M78" s="42"/>
      <c r="N78" s="19">
        <f t="shared" si="0"/>
        <v>2.2133333333333276</v>
      </c>
      <c r="O78" s="19">
        <f t="shared" si="1"/>
        <v>3.5333333333333279</v>
      </c>
      <c r="P78" s="19">
        <f t="shared" si="2"/>
        <v>-1.2100000000000044</v>
      </c>
      <c r="Q78" s="19">
        <f t="shared" si="3"/>
        <v>3.3366666666666625</v>
      </c>
      <c r="R78" s="19">
        <f t="shared" si="4"/>
        <v>8.8766666666666616</v>
      </c>
      <c r="S78" s="44">
        <f t="shared" si="5"/>
        <v>1.7399999999999949</v>
      </c>
      <c r="T78" s="23"/>
      <c r="U78" s="42"/>
      <c r="V78" s="19">
        <f t="shared" si="13"/>
        <v>3.350000000000005</v>
      </c>
      <c r="W78" s="19">
        <f t="shared" si="6"/>
        <v>4.6700000000000053</v>
      </c>
      <c r="X78" s="19">
        <f t="shared" si="7"/>
        <v>-7.3333333333327033E-2</v>
      </c>
      <c r="Y78" s="19">
        <f t="shared" si="8"/>
        <v>4.4733333333333398</v>
      </c>
      <c r="Z78" s="19">
        <f t="shared" si="9"/>
        <v>10.013333333333339</v>
      </c>
      <c r="AA78" s="44">
        <f t="shared" si="10"/>
        <v>2.8766666666666723</v>
      </c>
      <c r="AB78" s="23"/>
      <c r="AC78" s="42"/>
      <c r="AD78" s="19">
        <f t="shared" si="33"/>
        <v>-1.5208888888888956</v>
      </c>
      <c r="AE78" s="19">
        <f t="shared" si="14"/>
        <v>-0.43977777777778293</v>
      </c>
      <c r="AF78" s="19">
        <f t="shared" si="15"/>
        <v>-3.6775555555555601</v>
      </c>
      <c r="AG78" s="19">
        <f t="shared" si="16"/>
        <v>-1.2581111111111163</v>
      </c>
      <c r="AH78" s="19">
        <f t="shared" si="17"/>
        <v>1.0921428571428518</v>
      </c>
      <c r="AI78" s="44">
        <f t="shared" si="18"/>
        <v>-2.579222222222227</v>
      </c>
      <c r="AJ78" s="23"/>
      <c r="AK78" s="42"/>
      <c r="AL78" s="19">
        <f t="shared" si="19"/>
        <v>-1.2096666666666627</v>
      </c>
      <c r="AM78" s="19">
        <f t="shared" si="20"/>
        <v>-0.12855555555554954</v>
      </c>
      <c r="AN78" s="19">
        <f t="shared" si="21"/>
        <v>-3.3663333333333276</v>
      </c>
      <c r="AO78" s="19">
        <f t="shared" si="22"/>
        <v>-0.9468888888888829</v>
      </c>
      <c r="AP78" s="19">
        <f t="shared" si="23"/>
        <v>1.4442307692307725</v>
      </c>
      <c r="AQ78" s="19">
        <f t="shared" si="24"/>
        <v>-2.2679999999999945</v>
      </c>
      <c r="AR78" s="23"/>
      <c r="AS78" s="19"/>
      <c r="AT78" s="19">
        <f t="shared" si="32"/>
        <v>2.8696780485637072</v>
      </c>
      <c r="AU78" s="19">
        <f t="shared" si="32"/>
        <v>1.3563953821036969</v>
      </c>
      <c r="AV78" s="19">
        <f t="shared" si="25"/>
        <v>12.79541961985441</v>
      </c>
      <c r="AW78" s="19">
        <f t="shared" si="25"/>
        <v>2.3918237960055979</v>
      </c>
      <c r="AX78" s="19">
        <f t="shared" si="25"/>
        <v>0.46906414873746477</v>
      </c>
      <c r="AY78" s="19">
        <f t="shared" si="25"/>
        <v>5.9761742838586489</v>
      </c>
      <c r="AZ78" s="23"/>
      <c r="BA78" s="19"/>
      <c r="BB78" s="19">
        <f t="shared" si="26"/>
        <v>2.3128419261184305</v>
      </c>
      <c r="BC78" s="19">
        <f t="shared" si="27"/>
        <v>1.0931986289169309</v>
      </c>
      <c r="BD78" s="19">
        <f t="shared" si="28"/>
        <v>10.312579480436675</v>
      </c>
      <c r="BE78" s="19">
        <f t="shared" si="29"/>
        <v>1.9277111444812562</v>
      </c>
      <c r="BF78" s="19">
        <f t="shared" si="30"/>
        <v>0.36748804709482574</v>
      </c>
      <c r="BG78" s="19">
        <f t="shared" si="31"/>
        <v>4.8165495249256445</v>
      </c>
    </row>
    <row r="79" spans="1:59" x14ac:dyDescent="0.45">
      <c r="A79" s="19" t="s">
        <v>79</v>
      </c>
      <c r="B79" s="36">
        <v>10547058</v>
      </c>
      <c r="C79" s="38"/>
      <c r="D79" s="37">
        <v>29.803333333333331</v>
      </c>
      <c r="E79" s="37">
        <v>33.379999999999995</v>
      </c>
      <c r="F79" s="37">
        <v>27.203333333333333</v>
      </c>
      <c r="G79" s="37">
        <v>30.443333333333332</v>
      </c>
      <c r="H79" s="37">
        <v>33.879999999999995</v>
      </c>
      <c r="I79" s="37">
        <v>28.076666666666664</v>
      </c>
      <c r="J79" s="37">
        <v>26.45</v>
      </c>
      <c r="K79" s="40">
        <v>25.84</v>
      </c>
      <c r="L79" s="23"/>
      <c r="M79" s="42"/>
      <c r="N79" s="19">
        <f t="shared" si="0"/>
        <v>3.3533333333333317</v>
      </c>
      <c r="O79" s="19">
        <f t="shared" si="1"/>
        <v>6.9299999999999962</v>
      </c>
      <c r="P79" s="19">
        <f t="shared" si="2"/>
        <v>0.75333333333333385</v>
      </c>
      <c r="Q79" s="19">
        <f t="shared" si="3"/>
        <v>3.9933333333333323</v>
      </c>
      <c r="R79" s="19">
        <f t="shared" si="4"/>
        <v>7.4299999999999962</v>
      </c>
      <c r="S79" s="44">
        <f t="shared" si="5"/>
        <v>1.6266666666666652</v>
      </c>
      <c r="T79" s="23"/>
      <c r="U79" s="42"/>
      <c r="V79" s="19">
        <f t="shared" si="13"/>
        <v>3.9633333333333312</v>
      </c>
      <c r="W79" s="19">
        <f t="shared" si="6"/>
        <v>7.5399999999999956</v>
      </c>
      <c r="X79" s="19">
        <f t="shared" si="7"/>
        <v>1.3633333333333333</v>
      </c>
      <c r="Y79" s="19">
        <f t="shared" si="8"/>
        <v>4.6033333333333317</v>
      </c>
      <c r="Z79" s="19">
        <f t="shared" si="9"/>
        <v>8.0399999999999956</v>
      </c>
      <c r="AA79" s="44">
        <f t="shared" si="10"/>
        <v>2.2366666666666646</v>
      </c>
      <c r="AB79" s="23"/>
      <c r="AC79" s="42"/>
      <c r="AD79" s="19">
        <f t="shared" si="33"/>
        <v>-0.3808888888888915</v>
      </c>
      <c r="AE79" s="19">
        <f t="shared" si="14"/>
        <v>2.9568888888888853</v>
      </c>
      <c r="AF79" s="19">
        <f t="shared" si="15"/>
        <v>-1.7142222222222219</v>
      </c>
      <c r="AG79" s="19">
        <f t="shared" si="16"/>
        <v>-0.60144444444444645</v>
      </c>
      <c r="AH79" s="19">
        <f t="shared" si="17"/>
        <v>-0.35452380952381368</v>
      </c>
      <c r="AI79" s="44">
        <f t="shared" si="18"/>
        <v>-2.6925555555555567</v>
      </c>
      <c r="AJ79" s="23"/>
      <c r="AK79" s="42"/>
      <c r="AL79" s="19">
        <f t="shared" si="19"/>
        <v>-0.59633333333333649</v>
      </c>
      <c r="AM79" s="19">
        <f t="shared" si="20"/>
        <v>2.7414444444444408</v>
      </c>
      <c r="AN79" s="19">
        <f t="shared" si="21"/>
        <v>-1.9296666666666673</v>
      </c>
      <c r="AO79" s="19">
        <f t="shared" si="22"/>
        <v>-0.816888888888891</v>
      </c>
      <c r="AP79" s="19">
        <f t="shared" si="23"/>
        <v>-0.52910256410257084</v>
      </c>
      <c r="AQ79" s="19">
        <f t="shared" si="24"/>
        <v>-2.9080000000000021</v>
      </c>
      <c r="AR79" s="23"/>
      <c r="AS79" s="19"/>
      <c r="AT79" s="19">
        <f t="shared" si="32"/>
        <v>1.3021438993323633</v>
      </c>
      <c r="AU79" s="19">
        <f t="shared" si="32"/>
        <v>0.1287916628847775</v>
      </c>
      <c r="AV79" s="19">
        <f t="shared" si="25"/>
        <v>3.2811970175220639</v>
      </c>
      <c r="AW79" s="19">
        <f t="shared" si="25"/>
        <v>1.5172348809768899</v>
      </c>
      <c r="AX79" s="19">
        <f t="shared" si="25"/>
        <v>1.2785634960593359</v>
      </c>
      <c r="AY79" s="19">
        <f t="shared" si="25"/>
        <v>6.464575131643489</v>
      </c>
      <c r="AZ79" s="23"/>
      <c r="BA79" s="19"/>
      <c r="BB79" s="19">
        <f t="shared" si="26"/>
        <v>1.5118692039234674</v>
      </c>
      <c r="BC79" s="19">
        <f t="shared" si="27"/>
        <v>0.14953504673133525</v>
      </c>
      <c r="BD79" s="19">
        <f t="shared" si="28"/>
        <v>3.8096716694219555</v>
      </c>
      <c r="BE79" s="19">
        <f t="shared" si="29"/>
        <v>1.7616030707846937</v>
      </c>
      <c r="BF79" s="19">
        <f t="shared" si="30"/>
        <v>1.4430312712209843</v>
      </c>
      <c r="BG79" s="19">
        <f t="shared" si="31"/>
        <v>7.5057695720053781</v>
      </c>
    </row>
    <row r="80" spans="1:59" x14ac:dyDescent="0.45">
      <c r="A80" s="19" t="s">
        <v>79</v>
      </c>
      <c r="B80" s="36">
        <v>10546601</v>
      </c>
      <c r="C80" s="38"/>
      <c r="D80" s="37">
        <v>29.5</v>
      </c>
      <c r="E80" s="37">
        <v>34.040000000000006</v>
      </c>
      <c r="F80" s="37">
        <v>27.040000000000003</v>
      </c>
      <c r="G80" s="37">
        <v>30.093333333333334</v>
      </c>
      <c r="H80" s="37">
        <v>26.88</v>
      </c>
      <c r="I80" s="37">
        <v>28.97</v>
      </c>
      <c r="J80" s="37">
        <v>25.696666666666669</v>
      </c>
      <c r="K80" s="40">
        <v>25.043333333333333</v>
      </c>
      <c r="L80" s="23"/>
      <c r="M80" s="42"/>
      <c r="N80" s="19">
        <f t="shared" si="0"/>
        <v>3.803333333333331</v>
      </c>
      <c r="O80" s="19">
        <f t="shared" si="1"/>
        <v>8.3433333333333373</v>
      </c>
      <c r="P80" s="19">
        <f t="shared" si="2"/>
        <v>1.3433333333333337</v>
      </c>
      <c r="Q80" s="19">
        <f t="shared" si="3"/>
        <v>4.3966666666666647</v>
      </c>
      <c r="R80" s="19">
        <f t="shared" si="4"/>
        <v>1.18333333333333</v>
      </c>
      <c r="S80" s="44">
        <f t="shared" si="5"/>
        <v>3.2733333333333299</v>
      </c>
      <c r="T80" s="23"/>
      <c r="U80" s="42"/>
      <c r="V80" s="19">
        <f t="shared" si="13"/>
        <v>4.456666666666667</v>
      </c>
      <c r="W80" s="19">
        <f t="shared" si="6"/>
        <v>8.9966666666666733</v>
      </c>
      <c r="X80" s="19">
        <f t="shared" si="7"/>
        <v>1.9966666666666697</v>
      </c>
      <c r="Y80" s="19">
        <f t="shared" si="8"/>
        <v>5.0500000000000007</v>
      </c>
      <c r="Z80" s="19">
        <f t="shared" si="9"/>
        <v>1.836666666666666</v>
      </c>
      <c r="AA80" s="44">
        <f t="shared" si="10"/>
        <v>3.9266666666666659</v>
      </c>
      <c r="AB80" s="23"/>
      <c r="AC80" s="42"/>
      <c r="AD80" s="19">
        <f t="shared" si="33"/>
        <v>6.9111111111107792E-2</v>
      </c>
      <c r="AE80" s="19">
        <f t="shared" si="14"/>
        <v>4.3702222222222264</v>
      </c>
      <c r="AF80" s="19">
        <f t="shared" si="15"/>
        <v>-1.124222222222222</v>
      </c>
      <c r="AG80" s="19">
        <f t="shared" si="16"/>
        <v>-0.19811111111111401</v>
      </c>
      <c r="AH80" s="19">
        <f t="shared" si="17"/>
        <v>-6.6011904761904798</v>
      </c>
      <c r="AI80" s="44">
        <f t="shared" si="18"/>
        <v>-1.045888888888892</v>
      </c>
      <c r="AJ80" s="23"/>
      <c r="AK80" s="42"/>
      <c r="AL80" s="19">
        <f t="shared" si="19"/>
        <v>-0.10300000000000065</v>
      </c>
      <c r="AM80" s="19">
        <f t="shared" si="20"/>
        <v>4.1981111111111185</v>
      </c>
      <c r="AN80" s="19">
        <f t="shared" si="21"/>
        <v>-1.2963333333333309</v>
      </c>
      <c r="AO80" s="19">
        <f t="shared" si="22"/>
        <v>-0.37022222222222201</v>
      </c>
      <c r="AP80" s="19">
        <f t="shared" si="23"/>
        <v>-6.7324358974359004</v>
      </c>
      <c r="AQ80" s="19">
        <f t="shared" si="24"/>
        <v>-1.2180000000000009</v>
      </c>
      <c r="AR80" s="23"/>
      <c r="AS80" s="19"/>
      <c r="AT80" s="19">
        <f t="shared" si="32"/>
        <v>0.95322512853768726</v>
      </c>
      <c r="AU80" s="19">
        <f t="shared" si="32"/>
        <v>4.8353957383605435E-2</v>
      </c>
      <c r="AV80" s="19">
        <f t="shared" si="25"/>
        <v>2.1798399652186746</v>
      </c>
      <c r="AW80" s="19">
        <f t="shared" si="25"/>
        <v>1.1471953736282587</v>
      </c>
      <c r="AX80" s="19">
        <f t="shared" si="25"/>
        <v>97.085940123671435</v>
      </c>
      <c r="AY80" s="19">
        <f t="shared" si="25"/>
        <v>2.0646380539491145</v>
      </c>
      <c r="AZ80" s="23"/>
      <c r="BA80" s="19"/>
      <c r="BB80" s="19">
        <f t="shared" si="26"/>
        <v>1.0740044716201249</v>
      </c>
      <c r="BC80" s="19">
        <f t="shared" si="27"/>
        <v>5.4480693905110296E-2</v>
      </c>
      <c r="BD80" s="19">
        <f t="shared" si="28"/>
        <v>2.4560387677280513</v>
      </c>
      <c r="BE80" s="19">
        <f t="shared" si="29"/>
        <v>1.2925519105741414</v>
      </c>
      <c r="BF80" s="19">
        <f t="shared" si="30"/>
        <v>106.33228558209413</v>
      </c>
      <c r="BG80" s="19">
        <f t="shared" si="31"/>
        <v>2.3262400830957031</v>
      </c>
    </row>
    <row r="81" spans="1:59" x14ac:dyDescent="0.45">
      <c r="A81" s="27" t="s">
        <v>80</v>
      </c>
      <c r="B81" s="28">
        <v>10338316</v>
      </c>
      <c r="C81" s="38"/>
      <c r="D81" s="29">
        <v>34.153333333333329</v>
      </c>
      <c r="E81" s="29">
        <v>34.596666666666664</v>
      </c>
      <c r="F81" s="29">
        <v>32.466666666666669</v>
      </c>
      <c r="G81" s="29">
        <v>34.734999999999999</v>
      </c>
      <c r="H81" s="29">
        <v>37.380000000000003</v>
      </c>
      <c r="I81" s="29">
        <v>34.986666666666665</v>
      </c>
      <c r="J81" s="29">
        <v>30.490000000000002</v>
      </c>
      <c r="K81" s="41">
        <v>28.74</v>
      </c>
      <c r="L81" s="23"/>
      <c r="M81" s="43"/>
      <c r="N81" s="20">
        <f t="shared" si="0"/>
        <v>3.6633333333333269</v>
      </c>
      <c r="O81" s="20">
        <f t="shared" si="1"/>
        <v>4.106666666666662</v>
      </c>
      <c r="P81" s="20">
        <f t="shared" si="2"/>
        <v>1.9766666666666666</v>
      </c>
      <c r="Q81" s="20">
        <f t="shared" si="3"/>
        <v>4.2449999999999974</v>
      </c>
      <c r="R81" s="20">
        <f t="shared" si="4"/>
        <v>6.8900000000000006</v>
      </c>
      <c r="S81" s="27">
        <f t="shared" si="5"/>
        <v>4.4966666666666626</v>
      </c>
      <c r="T81" s="23"/>
      <c r="U81" s="43"/>
      <c r="V81" s="20">
        <f>D81-K81</f>
        <v>5.4133333333333304</v>
      </c>
      <c r="W81" s="20">
        <f t="shared" si="6"/>
        <v>5.8566666666666656</v>
      </c>
      <c r="X81" s="20">
        <f t="shared" si="7"/>
        <v>3.7266666666666701</v>
      </c>
      <c r="Y81" s="20">
        <f t="shared" si="8"/>
        <v>5.995000000000001</v>
      </c>
      <c r="Z81" s="20">
        <f t="shared" si="9"/>
        <v>8.6400000000000041</v>
      </c>
      <c r="AA81" s="27">
        <f t="shared" si="10"/>
        <v>6.2466666666666661</v>
      </c>
      <c r="AB81" s="23"/>
      <c r="AC81" s="43"/>
      <c r="AD81" s="20">
        <f>N81-$N$96</f>
        <v>-7.0888888888896329E-2</v>
      </c>
      <c r="AE81" s="20">
        <f t="shared" si="14"/>
        <v>0.13355555555555121</v>
      </c>
      <c r="AF81" s="20">
        <f t="shared" si="15"/>
        <v>-0.49088888888888915</v>
      </c>
      <c r="AG81" s="20">
        <f t="shared" si="16"/>
        <v>-0.3497777777777813</v>
      </c>
      <c r="AH81" s="20">
        <f t="shared" si="17"/>
        <v>-0.89452380952380928</v>
      </c>
      <c r="AI81" s="27">
        <f t="shared" si="18"/>
        <v>0.17744444444444074</v>
      </c>
      <c r="AJ81" s="23"/>
      <c r="AK81" s="43"/>
      <c r="AL81" s="20">
        <f t="shared" si="19"/>
        <v>0.8536666666666628</v>
      </c>
      <c r="AM81" s="20">
        <f t="shared" si="20"/>
        <v>1.0581111111111108</v>
      </c>
      <c r="AN81" s="20">
        <f t="shared" si="21"/>
        <v>0.43366666666666953</v>
      </c>
      <c r="AO81" s="20">
        <f t="shared" si="22"/>
        <v>0.57477777777777828</v>
      </c>
      <c r="AP81" s="20">
        <f t="shared" si="23"/>
        <v>7.0897435897437688E-2</v>
      </c>
      <c r="AQ81" s="20">
        <f t="shared" si="24"/>
        <v>1.1019999999999994</v>
      </c>
      <c r="AR81" s="23"/>
      <c r="AS81" s="20"/>
      <c r="AT81" s="20">
        <f t="shared" si="32"/>
        <v>1.0503636457178205</v>
      </c>
      <c r="AU81" s="20">
        <f t="shared" si="32"/>
        <v>0.91158206429070732</v>
      </c>
      <c r="AV81" s="20">
        <f t="shared" si="25"/>
        <v>1.4053104641514627</v>
      </c>
      <c r="AW81" s="20">
        <f t="shared" si="25"/>
        <v>1.274364318415254</v>
      </c>
      <c r="AX81" s="20">
        <f t="shared" si="25"/>
        <v>1.858996184919244</v>
      </c>
      <c r="AY81" s="20">
        <f>2^-AI81</f>
        <v>0.88426798098553749</v>
      </c>
      <c r="AZ81" s="23"/>
      <c r="BA81" s="20"/>
      <c r="BB81" s="20">
        <f t="shared" si="26"/>
        <v>0.55337651890126238</v>
      </c>
      <c r="BC81" s="20">
        <f t="shared" si="27"/>
        <v>0.48026044264439238</v>
      </c>
      <c r="BD81" s="20">
        <f t="shared" si="28"/>
        <v>0.74037769280961319</v>
      </c>
      <c r="BE81" s="20">
        <f t="shared" si="29"/>
        <v>0.67138965939236761</v>
      </c>
      <c r="BF81" s="20">
        <f t="shared" si="30"/>
        <v>0.95204558893437174</v>
      </c>
      <c r="BG81" s="20">
        <f t="shared" si="31"/>
        <v>0.4658702146523867</v>
      </c>
    </row>
    <row r="82" spans="1:59" x14ac:dyDescent="0.45">
      <c r="A82" s="27" t="s">
        <v>80</v>
      </c>
      <c r="B82" s="28">
        <v>10317082</v>
      </c>
      <c r="C82" s="38"/>
      <c r="D82" s="29">
        <v>30.59</v>
      </c>
      <c r="E82" s="29">
        <v>29.886666666666667</v>
      </c>
      <c r="F82" s="29">
        <v>28.52333333333333</v>
      </c>
      <c r="G82" s="29">
        <v>30.314999999999998</v>
      </c>
      <c r="H82" s="29">
        <v>37.93</v>
      </c>
      <c r="I82" s="29">
        <v>30.206666666666667</v>
      </c>
      <c r="J82" s="29">
        <v>27.204999999999998</v>
      </c>
      <c r="K82" s="41">
        <v>26.58</v>
      </c>
      <c r="L82" s="23"/>
      <c r="M82" s="43"/>
      <c r="N82" s="20">
        <f t="shared" si="0"/>
        <v>3.3850000000000016</v>
      </c>
      <c r="O82" s="20">
        <f t="shared" si="1"/>
        <v>2.6816666666666684</v>
      </c>
      <c r="P82" s="20">
        <f t="shared" si="2"/>
        <v>1.3183333333333316</v>
      </c>
      <c r="Q82" s="20">
        <f t="shared" si="3"/>
        <v>3.1099999999999994</v>
      </c>
      <c r="R82" s="20">
        <f t="shared" si="4"/>
        <v>10.725000000000001</v>
      </c>
      <c r="S82" s="27">
        <f t="shared" si="5"/>
        <v>3.0016666666666687</v>
      </c>
      <c r="T82" s="23"/>
      <c r="U82" s="43"/>
      <c r="V82" s="20">
        <f t="shared" si="13"/>
        <v>4.0100000000000016</v>
      </c>
      <c r="W82" s="20">
        <f t="shared" si="6"/>
        <v>3.3066666666666684</v>
      </c>
      <c r="X82" s="20">
        <f t="shared" si="7"/>
        <v>1.9433333333333316</v>
      </c>
      <c r="Y82" s="20">
        <f t="shared" si="8"/>
        <v>3.7349999999999994</v>
      </c>
      <c r="Z82" s="20">
        <f t="shared" si="9"/>
        <v>11.350000000000001</v>
      </c>
      <c r="AA82" s="27">
        <f t="shared" si="10"/>
        <v>3.6266666666666687</v>
      </c>
      <c r="AB82" s="23"/>
      <c r="AC82" s="43"/>
      <c r="AD82" s="20">
        <f t="shared" si="33"/>
        <v>-0.34922222222222166</v>
      </c>
      <c r="AE82" s="20">
        <f t="shared" si="14"/>
        <v>-1.2914444444444424</v>
      </c>
      <c r="AF82" s="20">
        <f t="shared" si="15"/>
        <v>-1.1492222222222241</v>
      </c>
      <c r="AG82" s="20">
        <f t="shared" si="16"/>
        <v>-1.4847777777777793</v>
      </c>
      <c r="AH82" s="20">
        <f t="shared" si="17"/>
        <v>2.9404761904761916</v>
      </c>
      <c r="AI82" s="27">
        <f t="shared" si="18"/>
        <v>-1.3175555555555531</v>
      </c>
      <c r="AJ82" s="23"/>
      <c r="AK82" s="43"/>
      <c r="AL82" s="20">
        <f t="shared" si="19"/>
        <v>-0.54966666666666608</v>
      </c>
      <c r="AM82" s="20">
        <f t="shared" si="20"/>
        <v>-1.4918888888888864</v>
      </c>
      <c r="AN82" s="20">
        <f t="shared" si="21"/>
        <v>-1.349666666666669</v>
      </c>
      <c r="AO82" s="20">
        <f t="shared" si="22"/>
        <v>-1.6852222222222233</v>
      </c>
      <c r="AP82" s="20">
        <f t="shared" si="23"/>
        <v>2.780897435897435</v>
      </c>
      <c r="AQ82" s="20">
        <f t="shared" si="24"/>
        <v>-1.517999999999998</v>
      </c>
      <c r="AR82" s="23"/>
      <c r="AS82" s="20"/>
      <c r="AT82" s="20">
        <f t="shared" si="32"/>
        <v>1.2738736784260616</v>
      </c>
      <c r="AU82" s="20">
        <f t="shared" si="32"/>
        <v>2.447730027088737</v>
      </c>
      <c r="AV82" s="20">
        <f t="shared" si="25"/>
        <v>2.217942896643831</v>
      </c>
      <c r="AW82" s="20">
        <f t="shared" si="25"/>
        <v>2.7987406003968407</v>
      </c>
      <c r="AX82" s="20">
        <f t="shared" si="25"/>
        <v>0.13026521635724175</v>
      </c>
      <c r="AY82" s="20">
        <f t="shared" si="25"/>
        <v>2.4924344374208824</v>
      </c>
      <c r="AZ82" s="23"/>
      <c r="BA82" s="20"/>
      <c r="BB82" s="20">
        <f t="shared" si="26"/>
        <v>1.4637474593976667</v>
      </c>
      <c r="BC82" s="20">
        <f t="shared" si="27"/>
        <v>2.8125697776166714</v>
      </c>
      <c r="BD82" s="20">
        <f t="shared" si="28"/>
        <v>2.548532350603824</v>
      </c>
      <c r="BE82" s="20">
        <f t="shared" si="29"/>
        <v>3.2158992784948679</v>
      </c>
      <c r="BF82" s="20">
        <f t="shared" si="30"/>
        <v>0.14550116040377895</v>
      </c>
      <c r="BG82" s="20">
        <f t="shared" si="31"/>
        <v>2.863937482402283</v>
      </c>
    </row>
    <row r="83" spans="1:59" x14ac:dyDescent="0.45">
      <c r="A83" s="27" t="s">
        <v>80</v>
      </c>
      <c r="B83" s="28">
        <v>10543018</v>
      </c>
      <c r="C83" s="38"/>
      <c r="D83" s="29">
        <v>30.436666666666667</v>
      </c>
      <c r="E83" s="29">
        <v>33.04666666666666</v>
      </c>
      <c r="F83" s="29">
        <v>26.853333333333335</v>
      </c>
      <c r="G83" s="29">
        <v>30.943333333333332</v>
      </c>
      <c r="H83" s="29">
        <v>35.295000000000002</v>
      </c>
      <c r="I83" s="29">
        <v>28.423333333333332</v>
      </c>
      <c r="J83" s="29">
        <v>27.48</v>
      </c>
      <c r="K83" s="41">
        <v>27.786666666666665</v>
      </c>
      <c r="L83" s="23"/>
      <c r="M83" s="43"/>
      <c r="N83" s="20">
        <f t="shared" si="0"/>
        <v>2.956666666666667</v>
      </c>
      <c r="O83" s="20">
        <f t="shared" si="1"/>
        <v>5.5666666666666593</v>
      </c>
      <c r="P83" s="20">
        <f t="shared" si="2"/>
        <v>-0.62666666666666515</v>
      </c>
      <c r="Q83" s="20">
        <f t="shared" si="3"/>
        <v>3.4633333333333312</v>
      </c>
      <c r="R83" s="20">
        <f t="shared" si="4"/>
        <v>7.8150000000000013</v>
      </c>
      <c r="S83" s="27">
        <f t="shared" si="5"/>
        <v>0.94333333333333158</v>
      </c>
      <c r="T83" s="23"/>
      <c r="U83" s="43"/>
      <c r="V83" s="20">
        <f t="shared" si="13"/>
        <v>2.6500000000000021</v>
      </c>
      <c r="W83" s="20">
        <f t="shared" si="6"/>
        <v>5.2599999999999945</v>
      </c>
      <c r="X83" s="20">
        <f t="shared" si="7"/>
        <v>-0.93333333333333002</v>
      </c>
      <c r="Y83" s="20">
        <f t="shared" si="8"/>
        <v>3.1566666666666663</v>
      </c>
      <c r="Z83" s="20">
        <f t="shared" si="9"/>
        <v>7.5083333333333364</v>
      </c>
      <c r="AA83" s="27">
        <f t="shared" si="10"/>
        <v>0.63666666666666671</v>
      </c>
      <c r="AB83" s="23"/>
      <c r="AC83" s="43"/>
      <c r="AD83" s="20">
        <f t="shared" si="33"/>
        <v>-0.77755555555555622</v>
      </c>
      <c r="AE83" s="20">
        <f t="shared" si="14"/>
        <v>1.5935555555555485</v>
      </c>
      <c r="AF83" s="20">
        <f t="shared" si="15"/>
        <v>-3.0942222222222209</v>
      </c>
      <c r="AG83" s="20">
        <f t="shared" si="16"/>
        <v>-1.1314444444444476</v>
      </c>
      <c r="AH83" s="20">
        <f t="shared" si="17"/>
        <v>3.0476190476191434E-2</v>
      </c>
      <c r="AI83" s="27">
        <f t="shared" si="18"/>
        <v>-3.3758888888888903</v>
      </c>
      <c r="AJ83" s="23"/>
      <c r="AK83" s="43"/>
      <c r="AL83" s="20">
        <f t="shared" si="19"/>
        <v>-1.9096666666666655</v>
      </c>
      <c r="AM83" s="20">
        <f t="shared" si="20"/>
        <v>0.46144444444443966</v>
      </c>
      <c r="AN83" s="20">
        <f t="shared" si="21"/>
        <v>-4.2263333333333311</v>
      </c>
      <c r="AO83" s="20">
        <f t="shared" si="22"/>
        <v>-2.2635555555555564</v>
      </c>
      <c r="AP83" s="20">
        <f t="shared" si="23"/>
        <v>-1.06076923076923</v>
      </c>
      <c r="AQ83" s="20">
        <f t="shared" si="24"/>
        <v>-4.508</v>
      </c>
      <c r="AR83" s="23"/>
      <c r="AS83" s="20"/>
      <c r="AT83" s="20">
        <f t="shared" si="32"/>
        <v>1.7142238988220184</v>
      </c>
      <c r="AU83" s="20">
        <f t="shared" si="32"/>
        <v>0.33135381719020179</v>
      </c>
      <c r="AV83" s="20">
        <f t="shared" si="25"/>
        <v>8.5399180297053974</v>
      </c>
      <c r="AW83" s="20">
        <f t="shared" si="25"/>
        <v>2.1907797411076326</v>
      </c>
      <c r="AX83" s="20">
        <f t="shared" si="25"/>
        <v>0.97909707359131071</v>
      </c>
      <c r="AY83" s="20">
        <f t="shared" si="25"/>
        <v>10.381110589443013</v>
      </c>
      <c r="AZ83" s="23"/>
      <c r="BA83" s="20"/>
      <c r="BB83" s="20">
        <f t="shared" si="26"/>
        <v>3.7572227937657403</v>
      </c>
      <c r="BC83" s="20">
        <f t="shared" si="27"/>
        <v>0.7262587551158467</v>
      </c>
      <c r="BD83" s="20">
        <f t="shared" si="28"/>
        <v>18.717726838454002</v>
      </c>
      <c r="BE83" s="20">
        <f t="shared" si="29"/>
        <v>4.8017342338221729</v>
      </c>
      <c r="BF83" s="20">
        <f t="shared" si="30"/>
        <v>2.0860434830269368</v>
      </c>
      <c r="BG83" s="20">
        <f t="shared" si="31"/>
        <v>22.753238569396398</v>
      </c>
    </row>
    <row r="84" spans="1:59" x14ac:dyDescent="0.45">
      <c r="A84" s="27" t="s">
        <v>80</v>
      </c>
      <c r="B84" s="28">
        <v>10314111</v>
      </c>
      <c r="C84" s="38"/>
      <c r="D84" s="29">
        <v>30.093333333333334</v>
      </c>
      <c r="E84" s="29">
        <v>32.745000000000005</v>
      </c>
      <c r="F84" s="29">
        <v>30.87</v>
      </c>
      <c r="G84" s="29">
        <v>32.56333333333334</v>
      </c>
      <c r="H84" s="29">
        <v>37.06</v>
      </c>
      <c r="I84" s="29">
        <v>32.413333333333334</v>
      </c>
      <c r="J84" s="29">
        <v>28.73</v>
      </c>
      <c r="K84" s="41">
        <v>27.236666666666668</v>
      </c>
      <c r="L84" s="23"/>
      <c r="M84" s="43"/>
      <c r="N84" s="20">
        <f t="shared" si="0"/>
        <v>1.3633333333333333</v>
      </c>
      <c r="O84" s="20">
        <f t="shared" si="1"/>
        <v>4.0150000000000041</v>
      </c>
      <c r="P84" s="20">
        <f t="shared" si="2"/>
        <v>2.1400000000000006</v>
      </c>
      <c r="Q84" s="20">
        <f t="shared" si="3"/>
        <v>3.8333333333333393</v>
      </c>
      <c r="R84" s="20">
        <f t="shared" si="4"/>
        <v>8.3300000000000018</v>
      </c>
      <c r="S84" s="27">
        <f t="shared" si="5"/>
        <v>3.6833333333333336</v>
      </c>
      <c r="T84" s="23"/>
      <c r="U84" s="43"/>
      <c r="V84" s="20">
        <f t="shared" si="13"/>
        <v>2.8566666666666656</v>
      </c>
      <c r="W84" s="20">
        <f t="shared" si="6"/>
        <v>5.5083333333333364</v>
      </c>
      <c r="X84" s="20">
        <f t="shared" si="7"/>
        <v>3.6333333333333329</v>
      </c>
      <c r="Y84" s="20">
        <f t="shared" si="8"/>
        <v>5.3266666666666715</v>
      </c>
      <c r="Z84" s="20">
        <f t="shared" si="9"/>
        <v>9.8233333333333341</v>
      </c>
      <c r="AA84" s="27">
        <f t="shared" si="10"/>
        <v>5.1766666666666659</v>
      </c>
      <c r="AB84" s="23"/>
      <c r="AC84" s="43"/>
      <c r="AD84" s="20">
        <f t="shared" si="33"/>
        <v>-2.3708888888888899</v>
      </c>
      <c r="AE84" s="20">
        <f t="shared" si="14"/>
        <v>4.1888888888893305E-2</v>
      </c>
      <c r="AF84" s="20">
        <f t="shared" si="15"/>
        <v>-0.32755555555555516</v>
      </c>
      <c r="AG84" s="20">
        <f t="shared" si="16"/>
        <v>-0.76144444444443948</v>
      </c>
      <c r="AH84" s="20">
        <f t="shared" si="17"/>
        <v>0.545476190476192</v>
      </c>
      <c r="AI84" s="27">
        <f t="shared" si="18"/>
        <v>-0.63588888888888828</v>
      </c>
      <c r="AJ84" s="23"/>
      <c r="AK84" s="43"/>
      <c r="AL84" s="20">
        <f t="shared" si="19"/>
        <v>-1.7030000000000021</v>
      </c>
      <c r="AM84" s="20">
        <f t="shared" si="20"/>
        <v>0.70977777777778162</v>
      </c>
      <c r="AN84" s="20">
        <f t="shared" si="21"/>
        <v>0.34033333333333227</v>
      </c>
      <c r="AO84" s="20">
        <f t="shared" si="22"/>
        <v>-9.3555555555551173E-2</v>
      </c>
      <c r="AP84" s="20">
        <f t="shared" si="23"/>
        <v>1.2542307692307677</v>
      </c>
      <c r="AQ84" s="20">
        <f t="shared" si="24"/>
        <v>3.199999999999914E-2</v>
      </c>
      <c r="AR84" s="23"/>
      <c r="AS84" s="20"/>
      <c r="AT84" s="20">
        <f t="shared" si="32"/>
        <v>5.1725973376243513</v>
      </c>
      <c r="AU84" s="20">
        <f t="shared" si="32"/>
        <v>0.97138230498370093</v>
      </c>
      <c r="AV84" s="20">
        <f t="shared" si="25"/>
        <v>1.2548853449567283</v>
      </c>
      <c r="AW84" s="20">
        <f t="shared" si="25"/>
        <v>1.6951870179500064</v>
      </c>
      <c r="AX84" s="20">
        <f t="shared" si="25"/>
        <v>0.68516521262200869</v>
      </c>
      <c r="AY84" s="20">
        <f t="shared" si="25"/>
        <v>1.5538948576440059</v>
      </c>
      <c r="AZ84" s="23"/>
      <c r="BA84" s="20"/>
      <c r="BB84" s="20">
        <f t="shared" si="26"/>
        <v>3.2557727402817429</v>
      </c>
      <c r="BC84" s="20">
        <f t="shared" si="27"/>
        <v>0.61141430939422103</v>
      </c>
      <c r="BD84" s="20">
        <f t="shared" si="28"/>
        <v>0.78985879464679065</v>
      </c>
      <c r="BE84" s="20">
        <f t="shared" si="29"/>
        <v>1.0669965826599479</v>
      </c>
      <c r="BF84" s="20">
        <f t="shared" si="30"/>
        <v>0.41921703014112505</v>
      </c>
      <c r="BG84" s="20">
        <f t="shared" si="31"/>
        <v>0.97806347344734001</v>
      </c>
    </row>
    <row r="85" spans="1:59" x14ac:dyDescent="0.45">
      <c r="A85" s="27" t="s">
        <v>80</v>
      </c>
      <c r="B85" s="28">
        <v>10339215</v>
      </c>
      <c r="C85" s="38"/>
      <c r="D85" s="29">
        <v>31.09</v>
      </c>
      <c r="E85" s="29">
        <v>33.199999999999996</v>
      </c>
      <c r="F85" s="29">
        <v>30.456666666666667</v>
      </c>
      <c r="G85" s="29">
        <v>34.876666666666665</v>
      </c>
      <c r="H85" s="29">
        <v>37.409999999999997</v>
      </c>
      <c r="I85" s="29">
        <v>33.519999999999996</v>
      </c>
      <c r="J85" s="29">
        <v>26.296666666666663</v>
      </c>
      <c r="K85" s="41">
        <v>25.693333333333332</v>
      </c>
      <c r="L85" s="23"/>
      <c r="M85" s="43"/>
      <c r="N85" s="20">
        <f t="shared" si="0"/>
        <v>4.7933333333333366</v>
      </c>
      <c r="O85" s="20">
        <f t="shared" si="1"/>
        <v>6.9033333333333324</v>
      </c>
      <c r="P85" s="20">
        <f t="shared" si="2"/>
        <v>4.1600000000000037</v>
      </c>
      <c r="Q85" s="20">
        <f t="shared" si="3"/>
        <v>8.5800000000000018</v>
      </c>
      <c r="R85" s="20">
        <f t="shared" si="4"/>
        <v>11.113333333333333</v>
      </c>
      <c r="S85" s="27">
        <f t="shared" si="5"/>
        <v>7.2233333333333327</v>
      </c>
      <c r="T85" s="23"/>
      <c r="U85" s="43"/>
      <c r="V85" s="20">
        <f t="shared" si="13"/>
        <v>5.3966666666666683</v>
      </c>
      <c r="W85" s="20">
        <f t="shared" si="6"/>
        <v>7.5066666666666642</v>
      </c>
      <c r="X85" s="20">
        <f t="shared" si="7"/>
        <v>4.7633333333333354</v>
      </c>
      <c r="Y85" s="20">
        <f t="shared" si="8"/>
        <v>9.1833333333333336</v>
      </c>
      <c r="Z85" s="20">
        <f t="shared" si="9"/>
        <v>11.716666666666665</v>
      </c>
      <c r="AA85" s="27">
        <f t="shared" si="10"/>
        <v>7.8266666666666644</v>
      </c>
      <c r="AB85" s="23"/>
      <c r="AC85" s="43"/>
      <c r="AD85" s="20">
        <f t="shared" si="33"/>
        <v>1.0591111111111133</v>
      </c>
      <c r="AE85" s="20">
        <f t="shared" si="14"/>
        <v>2.9302222222222216</v>
      </c>
      <c r="AF85" s="20">
        <f t="shared" si="15"/>
        <v>1.692444444444448</v>
      </c>
      <c r="AG85" s="20">
        <f t="shared" si="16"/>
        <v>3.9852222222222231</v>
      </c>
      <c r="AH85" s="20">
        <f t="shared" si="17"/>
        <v>3.3288095238095234</v>
      </c>
      <c r="AI85" s="27">
        <f t="shared" si="18"/>
        <v>2.9041111111111109</v>
      </c>
      <c r="AJ85" s="23"/>
      <c r="AK85" s="43"/>
      <c r="AL85" s="20">
        <f t="shared" si="19"/>
        <v>0.83700000000000063</v>
      </c>
      <c r="AM85" s="20">
        <f t="shared" si="20"/>
        <v>2.7081111111111094</v>
      </c>
      <c r="AN85" s="20">
        <f t="shared" si="21"/>
        <v>1.4703333333333348</v>
      </c>
      <c r="AO85" s="20">
        <f t="shared" si="22"/>
        <v>3.7631111111111109</v>
      </c>
      <c r="AP85" s="20">
        <f t="shared" si="23"/>
        <v>3.1475641025640986</v>
      </c>
      <c r="AQ85" s="20">
        <f t="shared" si="24"/>
        <v>2.6819999999999977</v>
      </c>
      <c r="AR85" s="23"/>
      <c r="AS85" s="20"/>
      <c r="AT85" s="20">
        <f t="shared" si="32"/>
        <v>0.47992766681727483</v>
      </c>
      <c r="AU85" s="20">
        <f t="shared" si="32"/>
        <v>0.13119437567163933</v>
      </c>
      <c r="AV85" s="20">
        <f t="shared" si="25"/>
        <v>0.30940224189643839</v>
      </c>
      <c r="AW85" s="20">
        <f t="shared" si="25"/>
        <v>6.3143488493861727E-2</v>
      </c>
      <c r="AX85" s="20">
        <f t="shared" si="25"/>
        <v>9.9524151458054544E-2</v>
      </c>
      <c r="AY85" s="20">
        <f t="shared" si="25"/>
        <v>0.13359045985510223</v>
      </c>
      <c r="AZ85" s="23"/>
      <c r="BA85" s="20"/>
      <c r="BB85" s="20">
        <f t="shared" si="26"/>
        <v>0.55980644432711957</v>
      </c>
      <c r="BC85" s="20">
        <f t="shared" si="27"/>
        <v>0.15303026276336598</v>
      </c>
      <c r="BD85" s="20">
        <f t="shared" si="28"/>
        <v>0.36089890389426094</v>
      </c>
      <c r="BE85" s="20">
        <f t="shared" si="29"/>
        <v>7.3653040281208393E-2</v>
      </c>
      <c r="BF85" s="20">
        <f t="shared" si="30"/>
        <v>0.11284668140052609</v>
      </c>
      <c r="BG85" s="20">
        <f t="shared" si="31"/>
        <v>0.15582514928438745</v>
      </c>
    </row>
    <row r="86" spans="1:59" x14ac:dyDescent="0.45">
      <c r="A86" s="27" t="s">
        <v>80</v>
      </c>
      <c r="B86" s="28">
        <v>10531707</v>
      </c>
      <c r="C86" s="38"/>
      <c r="D86" s="29">
        <v>31.7</v>
      </c>
      <c r="E86" s="29">
        <v>31.590000000000003</v>
      </c>
      <c r="F86" s="29">
        <v>30.316666666666666</v>
      </c>
      <c r="G86" s="29">
        <v>32.623333333333335</v>
      </c>
      <c r="H86" s="29">
        <v>34.369999999999997</v>
      </c>
      <c r="I86" s="29">
        <v>32.536666666666662</v>
      </c>
      <c r="J86" s="29">
        <v>27.16333333333333</v>
      </c>
      <c r="K86" s="41">
        <v>26.756666666666664</v>
      </c>
      <c r="L86" s="23"/>
      <c r="M86" s="43"/>
      <c r="N86" s="20">
        <f t="shared" si="0"/>
        <v>4.5366666666666688</v>
      </c>
      <c r="O86" s="20">
        <f t="shared" si="1"/>
        <v>4.426666666666673</v>
      </c>
      <c r="P86" s="20">
        <f t="shared" si="2"/>
        <v>3.153333333333336</v>
      </c>
      <c r="Q86" s="20">
        <f t="shared" si="3"/>
        <v>5.4600000000000044</v>
      </c>
      <c r="R86" s="20">
        <f t="shared" si="4"/>
        <v>7.206666666666667</v>
      </c>
      <c r="S86" s="27">
        <f t="shared" si="5"/>
        <v>5.3733333333333313</v>
      </c>
      <c r="T86" s="23"/>
      <c r="U86" s="43"/>
      <c r="V86" s="20">
        <f t="shared" si="13"/>
        <v>4.9433333333333351</v>
      </c>
      <c r="W86" s="20">
        <f t="shared" si="6"/>
        <v>4.8333333333333393</v>
      </c>
      <c r="X86" s="20">
        <f t="shared" si="7"/>
        <v>3.5600000000000023</v>
      </c>
      <c r="Y86" s="20">
        <f t="shared" si="8"/>
        <v>5.8666666666666707</v>
      </c>
      <c r="Z86" s="20">
        <f t="shared" si="9"/>
        <v>7.6133333333333333</v>
      </c>
      <c r="AA86" s="27">
        <f t="shared" si="10"/>
        <v>5.7799999999999976</v>
      </c>
      <c r="AB86" s="23"/>
      <c r="AC86" s="43"/>
      <c r="AD86" s="20">
        <f t="shared" si="33"/>
        <v>0.80244444444444563</v>
      </c>
      <c r="AE86" s="20">
        <f t="shared" si="14"/>
        <v>0.45355555555556215</v>
      </c>
      <c r="AF86" s="20">
        <f t="shared" si="15"/>
        <v>0.68577777777778026</v>
      </c>
      <c r="AG86" s="20">
        <f t="shared" si="16"/>
        <v>0.86522222222222567</v>
      </c>
      <c r="AH86" s="20">
        <f t="shared" si="17"/>
        <v>-0.57785714285714285</v>
      </c>
      <c r="AI86" s="27">
        <f t="shared" si="18"/>
        <v>1.0541111111111094</v>
      </c>
      <c r="AJ86" s="23"/>
      <c r="AK86" s="43"/>
      <c r="AL86" s="20">
        <f t="shared" si="19"/>
        <v>0.38366666666666749</v>
      </c>
      <c r="AM86" s="20">
        <f t="shared" si="20"/>
        <v>3.4777777777784458E-2</v>
      </c>
      <c r="AN86" s="20">
        <f t="shared" si="21"/>
        <v>0.26700000000000168</v>
      </c>
      <c r="AO86" s="20">
        <f t="shared" si="22"/>
        <v>0.44644444444444797</v>
      </c>
      <c r="AP86" s="20">
        <f t="shared" si="23"/>
        <v>-0.95576923076923315</v>
      </c>
      <c r="AQ86" s="20">
        <f t="shared" si="24"/>
        <v>0.63533333333333086</v>
      </c>
      <c r="AR86" s="23"/>
      <c r="AS86" s="20"/>
      <c r="AT86" s="20">
        <f t="shared" si="32"/>
        <v>0.57337684732671401</v>
      </c>
      <c r="AU86" s="20">
        <f t="shared" si="32"/>
        <v>0.73024093265424639</v>
      </c>
      <c r="AV86" s="20">
        <f t="shared" si="25"/>
        <v>0.62167058468033676</v>
      </c>
      <c r="AW86" s="20">
        <f t="shared" si="25"/>
        <v>0.54896184230233946</v>
      </c>
      <c r="AX86" s="20">
        <f t="shared" si="25"/>
        <v>1.4926305741683819</v>
      </c>
      <c r="AY86" s="20">
        <f t="shared" si="25"/>
        <v>0.48159385497921825</v>
      </c>
      <c r="AZ86" s="23"/>
      <c r="BA86" s="20"/>
      <c r="BB86" s="20">
        <f t="shared" si="26"/>
        <v>0.76648705576039999</v>
      </c>
      <c r="BC86" s="20">
        <f t="shared" si="27"/>
        <v>0.97618211316954229</v>
      </c>
      <c r="BD86" s="20">
        <f t="shared" si="28"/>
        <v>0.83104586159364691</v>
      </c>
      <c r="BE86" s="20">
        <f t="shared" si="29"/>
        <v>0.7338492096304795</v>
      </c>
      <c r="BF86" s="20">
        <f t="shared" si="30"/>
        <v>1.9396135410244253</v>
      </c>
      <c r="BG86" s="20">
        <f t="shared" si="31"/>
        <v>0.64379205002148665</v>
      </c>
    </row>
    <row r="87" spans="1:59" x14ac:dyDescent="0.45">
      <c r="A87" s="27" t="s">
        <v>80</v>
      </c>
      <c r="B87" s="28">
        <v>10535695</v>
      </c>
      <c r="C87" s="38"/>
      <c r="D87" s="29">
        <v>30.52</v>
      </c>
      <c r="E87" s="29">
        <v>31.376666666666665</v>
      </c>
      <c r="F87" s="29">
        <v>29.459999999999997</v>
      </c>
      <c r="G87" s="29">
        <v>31.263333333333332</v>
      </c>
      <c r="H87" s="29">
        <v>35.020000000000003</v>
      </c>
      <c r="I87" s="29">
        <v>32.266666666666666</v>
      </c>
      <c r="J87" s="29">
        <v>27.473333333333333</v>
      </c>
      <c r="K87" s="41">
        <v>26.243333333333336</v>
      </c>
      <c r="L87" s="23"/>
      <c r="M87" s="43"/>
      <c r="N87" s="20">
        <f t="shared" si="0"/>
        <v>3.0466666666666669</v>
      </c>
      <c r="O87" s="20">
        <f t="shared" si="1"/>
        <v>3.9033333333333324</v>
      </c>
      <c r="P87" s="20">
        <f t="shared" si="2"/>
        <v>1.9866666666666646</v>
      </c>
      <c r="Q87" s="20">
        <f t="shared" si="3"/>
        <v>3.7899999999999991</v>
      </c>
      <c r="R87" s="20">
        <f t="shared" si="4"/>
        <v>7.5466666666666704</v>
      </c>
      <c r="S87" s="27">
        <f t="shared" si="5"/>
        <v>4.793333333333333</v>
      </c>
      <c r="T87" s="23"/>
      <c r="U87" s="43"/>
      <c r="V87" s="20">
        <f t="shared" si="13"/>
        <v>4.2766666666666637</v>
      </c>
      <c r="W87" s="20">
        <f t="shared" si="6"/>
        <v>5.1333333333333293</v>
      </c>
      <c r="X87" s="20">
        <f t="shared" si="7"/>
        <v>3.2166666666666615</v>
      </c>
      <c r="Y87" s="20">
        <f t="shared" si="8"/>
        <v>5.019999999999996</v>
      </c>
      <c r="Z87" s="20">
        <f t="shared" si="9"/>
        <v>8.7766666666666673</v>
      </c>
      <c r="AA87" s="27">
        <f t="shared" si="10"/>
        <v>6.0233333333333299</v>
      </c>
      <c r="AB87" s="23"/>
      <c r="AC87" s="43"/>
      <c r="AD87" s="20">
        <f t="shared" si="33"/>
        <v>-0.68755555555555636</v>
      </c>
      <c r="AE87" s="20">
        <f t="shared" si="14"/>
        <v>-6.9777777777778383E-2</v>
      </c>
      <c r="AF87" s="20">
        <f t="shared" si="15"/>
        <v>-0.48088888888889114</v>
      </c>
      <c r="AG87" s="20">
        <f t="shared" si="16"/>
        <v>-0.80477777777777959</v>
      </c>
      <c r="AH87" s="20">
        <f t="shared" si="17"/>
        <v>-0.23785714285713944</v>
      </c>
      <c r="AI87" s="27">
        <f t="shared" si="18"/>
        <v>0.47411111111111115</v>
      </c>
      <c r="AJ87" s="23"/>
      <c r="AK87" s="43"/>
      <c r="AL87" s="20">
        <f t="shared" si="19"/>
        <v>-0.28300000000000392</v>
      </c>
      <c r="AM87" s="20">
        <f t="shared" si="20"/>
        <v>0.33477777777777451</v>
      </c>
      <c r="AN87" s="20">
        <f t="shared" si="21"/>
        <v>-7.6333333333339137E-2</v>
      </c>
      <c r="AO87" s="20">
        <f t="shared" si="22"/>
        <v>-0.4002222222222267</v>
      </c>
      <c r="AP87" s="20">
        <f t="shared" si="23"/>
        <v>0.20756410256410085</v>
      </c>
      <c r="AQ87" s="20">
        <f t="shared" si="24"/>
        <v>0.87866666666666315</v>
      </c>
      <c r="AR87" s="23"/>
      <c r="AS87" s="20"/>
      <c r="AT87" s="20">
        <f t="shared" si="32"/>
        <v>1.6105523501896251</v>
      </c>
      <c r="AU87" s="20">
        <f t="shared" si="32"/>
        <v>1.0495550053731144</v>
      </c>
      <c r="AV87" s="20">
        <f t="shared" si="25"/>
        <v>1.3956032757079571</v>
      </c>
      <c r="AW87" s="20">
        <f t="shared" si="25"/>
        <v>1.7468766949633077</v>
      </c>
      <c r="AX87" s="20">
        <f t="shared" si="25"/>
        <v>1.1792398169433715</v>
      </c>
      <c r="AY87" s="20">
        <f t="shared" si="25"/>
        <v>0.71991021226288698</v>
      </c>
      <c r="AZ87" s="23"/>
      <c r="BA87" s="20"/>
      <c r="BB87" s="20">
        <f t="shared" si="26"/>
        <v>1.216722358634071</v>
      </c>
      <c r="BC87" s="20">
        <f t="shared" si="27"/>
        <v>0.79290626070206016</v>
      </c>
      <c r="BD87" s="20">
        <f t="shared" si="28"/>
        <v>1.0543349982612447</v>
      </c>
      <c r="BE87" s="20">
        <f t="shared" si="29"/>
        <v>1.3197111738022023</v>
      </c>
      <c r="BF87" s="20">
        <f t="shared" si="30"/>
        <v>0.86599817961963343</v>
      </c>
      <c r="BG87" s="20">
        <f t="shared" si="31"/>
        <v>0.54386984152742601</v>
      </c>
    </row>
    <row r="88" spans="1:59" x14ac:dyDescent="0.45">
      <c r="A88" s="27" t="s">
        <v>80</v>
      </c>
      <c r="B88" s="28">
        <v>10335852</v>
      </c>
      <c r="C88" s="38"/>
      <c r="D88" s="29">
        <v>32.623333333333335</v>
      </c>
      <c r="E88" s="29">
        <v>29.303333333333331</v>
      </c>
      <c r="F88" s="29">
        <v>30.75</v>
      </c>
      <c r="G88" s="29">
        <v>33.520000000000003</v>
      </c>
      <c r="H88" s="29">
        <v>37.200000000000003</v>
      </c>
      <c r="I88" s="29">
        <v>32.326666666666668</v>
      </c>
      <c r="J88" s="29">
        <v>28.303333333333331</v>
      </c>
      <c r="K88" s="41">
        <v>27.666666666666668</v>
      </c>
      <c r="L88" s="23"/>
      <c r="M88" s="43"/>
      <c r="N88" s="20">
        <f t="shared" si="0"/>
        <v>4.3200000000000038</v>
      </c>
      <c r="O88" s="20">
        <f t="shared" si="1"/>
        <v>1</v>
      </c>
      <c r="P88" s="20">
        <f t="shared" si="2"/>
        <v>2.446666666666669</v>
      </c>
      <c r="Q88" s="20">
        <f t="shared" si="3"/>
        <v>5.2166666666666721</v>
      </c>
      <c r="R88" s="20">
        <f t="shared" si="4"/>
        <v>8.8966666666666718</v>
      </c>
      <c r="S88" s="27">
        <f t="shared" si="5"/>
        <v>4.023333333333337</v>
      </c>
      <c r="T88" s="23"/>
      <c r="U88" s="43"/>
      <c r="V88" s="20">
        <f t="shared" si="13"/>
        <v>4.956666666666667</v>
      </c>
      <c r="W88" s="20">
        <f t="shared" si="6"/>
        <v>1.6366666666666632</v>
      </c>
      <c r="X88" s="20">
        <f t="shared" si="7"/>
        <v>3.0833333333333321</v>
      </c>
      <c r="Y88" s="20">
        <f t="shared" si="8"/>
        <v>5.8533333333333353</v>
      </c>
      <c r="Z88" s="20">
        <f t="shared" si="9"/>
        <v>9.533333333333335</v>
      </c>
      <c r="AA88" s="27">
        <f t="shared" si="10"/>
        <v>4.66</v>
      </c>
      <c r="AB88" s="23"/>
      <c r="AC88" s="43"/>
      <c r="AD88" s="20">
        <f t="shared" si="33"/>
        <v>0.58577777777778062</v>
      </c>
      <c r="AE88" s="20">
        <f t="shared" si="14"/>
        <v>-2.9731111111111108</v>
      </c>
      <c r="AF88" s="20">
        <f t="shared" si="15"/>
        <v>-2.0888888888886736E-2</v>
      </c>
      <c r="AG88" s="20">
        <f t="shared" si="16"/>
        <v>0.62188888888889338</v>
      </c>
      <c r="AH88" s="20">
        <f t="shared" si="17"/>
        <v>1.112142857142862</v>
      </c>
      <c r="AI88" s="27">
        <f t="shared" si="18"/>
        <v>-0.29588888888888487</v>
      </c>
      <c r="AJ88" s="23"/>
      <c r="AK88" s="43"/>
      <c r="AL88" s="20">
        <f t="shared" si="19"/>
        <v>0.39699999999999935</v>
      </c>
      <c r="AM88" s="20">
        <f t="shared" si="20"/>
        <v>-3.1618888888888916</v>
      </c>
      <c r="AN88" s="20">
        <f t="shared" si="21"/>
        <v>-0.20966666666666844</v>
      </c>
      <c r="AO88" s="20">
        <f t="shared" si="22"/>
        <v>0.43311111111111256</v>
      </c>
      <c r="AP88" s="20">
        <f t="shared" si="23"/>
        <v>0.96423076923076856</v>
      </c>
      <c r="AQ88" s="20">
        <f t="shared" si="24"/>
        <v>-0.48466666666666658</v>
      </c>
      <c r="AR88" s="23"/>
      <c r="AS88" s="20"/>
      <c r="AT88" s="20">
        <f t="shared" si="32"/>
        <v>0.66629003509980611</v>
      </c>
      <c r="AU88" s="20">
        <f t="shared" si="32"/>
        <v>7.8522772412994399</v>
      </c>
      <c r="AV88" s="20">
        <f t="shared" si="25"/>
        <v>1.0145844039807819</v>
      </c>
      <c r="AW88" s="20">
        <f t="shared" si="25"/>
        <v>0.64981957603467022</v>
      </c>
      <c r="AX88" s="20">
        <f t="shared" si="25"/>
        <v>0.46260640399022196</v>
      </c>
      <c r="AY88" s="20">
        <f t="shared" si="25"/>
        <v>1.2276411318308234</v>
      </c>
      <c r="AZ88" s="23"/>
      <c r="BA88" s="20"/>
      <c r="BB88" s="20">
        <f t="shared" si="26"/>
        <v>0.75943584490726523</v>
      </c>
      <c r="BC88" s="20">
        <f t="shared" si="27"/>
        <v>8.9500074848021161</v>
      </c>
      <c r="BD88" s="20">
        <f t="shared" si="28"/>
        <v>1.1564209630592199</v>
      </c>
      <c r="BE88" s="20">
        <f t="shared" si="29"/>
        <v>0.7406628536613904</v>
      </c>
      <c r="BF88" s="20">
        <f t="shared" si="30"/>
        <v>0.51255162614498906</v>
      </c>
      <c r="BG88" s="20">
        <f t="shared" si="31"/>
        <v>1.3992625299509363</v>
      </c>
    </row>
    <row r="89" spans="1:59" x14ac:dyDescent="0.45">
      <c r="A89" s="27" t="s">
        <v>80</v>
      </c>
      <c r="B89" s="28">
        <v>10339998</v>
      </c>
      <c r="C89" s="38"/>
      <c r="D89" s="29">
        <v>31.743333333333336</v>
      </c>
      <c r="E89" s="29">
        <v>28.916666666666668</v>
      </c>
      <c r="F89" s="29">
        <v>29.296666666666667</v>
      </c>
      <c r="G89" s="29">
        <v>32.366666666666667</v>
      </c>
      <c r="H89" s="29">
        <v>34</v>
      </c>
      <c r="I89" s="29">
        <v>30.796666666666667</v>
      </c>
      <c r="J89" s="29">
        <v>26.8</v>
      </c>
      <c r="K89" s="41">
        <v>26.533333333333331</v>
      </c>
      <c r="L89" s="23"/>
      <c r="M89" s="43"/>
      <c r="N89" s="20">
        <f t="shared" si="0"/>
        <v>4.9433333333333351</v>
      </c>
      <c r="O89" s="20">
        <f t="shared" si="1"/>
        <v>2.1166666666666671</v>
      </c>
      <c r="P89" s="20">
        <f t="shared" si="2"/>
        <v>2.4966666666666661</v>
      </c>
      <c r="Q89" s="20">
        <f t="shared" si="3"/>
        <v>5.5666666666666664</v>
      </c>
      <c r="R89" s="20">
        <f t="shared" si="4"/>
        <v>7.1999999999999993</v>
      </c>
      <c r="S89" s="27">
        <f t="shared" si="5"/>
        <v>3.9966666666666661</v>
      </c>
      <c r="T89" s="23"/>
      <c r="U89" s="43"/>
      <c r="V89" s="20">
        <f t="shared" si="13"/>
        <v>5.2100000000000044</v>
      </c>
      <c r="W89" s="20">
        <f t="shared" si="6"/>
        <v>2.3833333333333364</v>
      </c>
      <c r="X89" s="20">
        <f t="shared" si="7"/>
        <v>2.7633333333333354</v>
      </c>
      <c r="Y89" s="20">
        <f t="shared" si="8"/>
        <v>5.8333333333333357</v>
      </c>
      <c r="Z89" s="20">
        <f t="shared" si="9"/>
        <v>7.4666666666666686</v>
      </c>
      <c r="AA89" s="27">
        <f t="shared" si="10"/>
        <v>4.2633333333333354</v>
      </c>
      <c r="AB89" s="23"/>
      <c r="AC89" s="43"/>
      <c r="AD89" s="20">
        <f t="shared" si="33"/>
        <v>1.2091111111111119</v>
      </c>
      <c r="AE89" s="20">
        <f t="shared" si="14"/>
        <v>-1.8564444444444437</v>
      </c>
      <c r="AF89" s="20">
        <f t="shared" si="15"/>
        <v>2.9111111111110421E-2</v>
      </c>
      <c r="AG89" s="20">
        <f t="shared" si="16"/>
        <v>0.97188888888888769</v>
      </c>
      <c r="AH89" s="20">
        <f t="shared" si="17"/>
        <v>-0.58452380952381056</v>
      </c>
      <c r="AI89" s="27">
        <f t="shared" si="18"/>
        <v>-0.32255555555555571</v>
      </c>
      <c r="AJ89" s="23"/>
      <c r="AK89" s="43"/>
      <c r="AL89" s="20">
        <f t="shared" si="19"/>
        <v>0.65033333333333676</v>
      </c>
      <c r="AM89" s="20">
        <f t="shared" si="20"/>
        <v>-2.4152222222222184</v>
      </c>
      <c r="AN89" s="20">
        <f t="shared" si="21"/>
        <v>-0.52966666666666518</v>
      </c>
      <c r="AO89" s="20">
        <f t="shared" si="22"/>
        <v>0.41311111111111298</v>
      </c>
      <c r="AP89" s="20">
        <f t="shared" si="23"/>
        <v>-1.1024358974358979</v>
      </c>
      <c r="AQ89" s="20">
        <f t="shared" si="24"/>
        <v>-0.8813333333333313</v>
      </c>
      <c r="AR89" s="23"/>
      <c r="AS89" s="20"/>
      <c r="AT89" s="20">
        <f t="shared" si="32"/>
        <v>0.43253503173880581</v>
      </c>
      <c r="AU89" s="20">
        <f t="shared" si="32"/>
        <v>3.6211412280883986</v>
      </c>
      <c r="AV89" s="20">
        <f t="shared" si="25"/>
        <v>0.98002393456560066</v>
      </c>
      <c r="AW89" s="20">
        <f t="shared" si="25"/>
        <v>0.50983810585881273</v>
      </c>
      <c r="AX89" s="20">
        <f t="shared" si="25"/>
        <v>1.4995439529904815</v>
      </c>
      <c r="AY89" s="20">
        <f t="shared" si="25"/>
        <v>1.250543771482018</v>
      </c>
      <c r="AZ89" s="23"/>
      <c r="BA89" s="20"/>
      <c r="BB89" s="20">
        <f t="shared" si="26"/>
        <v>0.63713308765095344</v>
      </c>
      <c r="BC89" s="20">
        <f t="shared" si="27"/>
        <v>5.3340162580526895</v>
      </c>
      <c r="BD89" s="20">
        <f t="shared" si="28"/>
        <v>1.4435956155770435</v>
      </c>
      <c r="BE89" s="20">
        <f t="shared" si="29"/>
        <v>0.75100212179830172</v>
      </c>
      <c r="BF89" s="20">
        <f t="shared" si="30"/>
        <v>2.1471692228152079</v>
      </c>
      <c r="BG89" s="20">
        <f t="shared" si="31"/>
        <v>1.8420769553947867</v>
      </c>
    </row>
    <row r="90" spans="1:59" x14ac:dyDescent="0.45">
      <c r="A90" s="27" t="s">
        <v>80</v>
      </c>
      <c r="B90" s="28">
        <v>10334619</v>
      </c>
      <c r="C90" s="38"/>
      <c r="D90" s="29">
        <v>31.745000000000001</v>
      </c>
      <c r="E90" s="29">
        <v>30.876666666666665</v>
      </c>
      <c r="F90" s="29">
        <v>30.613333333333333</v>
      </c>
      <c r="G90" s="29">
        <v>32.006666666666668</v>
      </c>
      <c r="H90" s="29" t="e">
        <v>#DIV/0!</v>
      </c>
      <c r="I90" s="29">
        <v>32.25</v>
      </c>
      <c r="J90" s="29">
        <v>27.659999999999997</v>
      </c>
      <c r="K90" s="41">
        <v>26.333333333333332</v>
      </c>
      <c r="L90" s="23"/>
      <c r="M90" s="43"/>
      <c r="N90" s="20">
        <f t="shared" si="0"/>
        <v>4.0850000000000044</v>
      </c>
      <c r="O90" s="20">
        <f t="shared" si="1"/>
        <v>3.2166666666666686</v>
      </c>
      <c r="P90" s="20">
        <f t="shared" si="2"/>
        <v>2.9533333333333367</v>
      </c>
      <c r="Q90" s="20">
        <f t="shared" si="3"/>
        <v>4.3466666666666711</v>
      </c>
      <c r="R90" s="20" t="e">
        <f t="shared" si="4"/>
        <v>#DIV/0!</v>
      </c>
      <c r="S90" s="27">
        <f t="shared" si="5"/>
        <v>4.5900000000000034</v>
      </c>
      <c r="T90" s="23"/>
      <c r="U90" s="43"/>
      <c r="V90" s="20">
        <f t="shared" si="13"/>
        <v>5.4116666666666688</v>
      </c>
      <c r="W90" s="20">
        <f t="shared" si="6"/>
        <v>4.543333333333333</v>
      </c>
      <c r="X90" s="20">
        <f t="shared" si="7"/>
        <v>4.2800000000000011</v>
      </c>
      <c r="Y90" s="20">
        <f t="shared" si="8"/>
        <v>5.6733333333333356</v>
      </c>
      <c r="Z90" s="20" t="e">
        <f t="shared" si="9"/>
        <v>#DIV/0!</v>
      </c>
      <c r="AA90" s="27">
        <f t="shared" si="10"/>
        <v>5.9166666666666679</v>
      </c>
      <c r="AB90" s="23"/>
      <c r="AC90" s="43"/>
      <c r="AD90" s="20">
        <f t="shared" si="33"/>
        <v>0.35077777777778119</v>
      </c>
      <c r="AE90" s="20">
        <f t="shared" si="14"/>
        <v>-0.75644444444444225</v>
      </c>
      <c r="AF90" s="20">
        <f t="shared" si="15"/>
        <v>0.48577777777778097</v>
      </c>
      <c r="AG90" s="20">
        <f t="shared" si="16"/>
        <v>-0.24811111111110762</v>
      </c>
      <c r="AH90" s="20" t="e">
        <f t="shared" si="17"/>
        <v>#DIV/0!</v>
      </c>
      <c r="AI90" s="27">
        <f t="shared" si="18"/>
        <v>0.27077777777778156</v>
      </c>
      <c r="AJ90" s="23"/>
      <c r="AK90" s="43"/>
      <c r="AL90" s="20">
        <f t="shared" si="19"/>
        <v>0.8520000000000012</v>
      </c>
      <c r="AM90" s="20">
        <f t="shared" si="20"/>
        <v>-0.2552222222222218</v>
      </c>
      <c r="AN90" s="20">
        <f t="shared" si="21"/>
        <v>0.98700000000000054</v>
      </c>
      <c r="AO90" s="20">
        <f t="shared" si="22"/>
        <v>0.25311111111111284</v>
      </c>
      <c r="AP90" s="20" t="e">
        <f t="shared" si="23"/>
        <v>#DIV/0!</v>
      </c>
      <c r="AQ90" s="20">
        <f t="shared" si="24"/>
        <v>0.77200000000000113</v>
      </c>
      <c r="AR90" s="23"/>
      <c r="AS90" s="20"/>
      <c r="AT90" s="20">
        <f t="shared" si="32"/>
        <v>0.78416123125069059</v>
      </c>
      <c r="AU90" s="20">
        <f t="shared" si="32"/>
        <v>1.6893221164102923</v>
      </c>
      <c r="AV90" s="20">
        <f t="shared" si="25"/>
        <v>0.71411197797234738</v>
      </c>
      <c r="AW90" s="20">
        <f t="shared" si="25"/>
        <v>1.1876511311104345</v>
      </c>
      <c r="AX90" s="20"/>
      <c r="AY90" s="20">
        <f t="shared" si="25"/>
        <v>0.82887256814080423</v>
      </c>
      <c r="AZ90" s="23"/>
      <c r="BA90" s="20"/>
      <c r="BB90" s="20">
        <f t="shared" si="26"/>
        <v>0.55401617393246261</v>
      </c>
      <c r="BC90" s="20">
        <f t="shared" si="27"/>
        <v>1.1935195699236447</v>
      </c>
      <c r="BD90" s="20">
        <f t="shared" si="28"/>
        <v>0.50452581692234044</v>
      </c>
      <c r="BE90" s="20">
        <f t="shared" si="29"/>
        <v>0.83908501135018931</v>
      </c>
      <c r="BF90" s="20"/>
      <c r="BG90" s="20">
        <f t="shared" si="31"/>
        <v>0.58560509060940447</v>
      </c>
    </row>
    <row r="91" spans="1:59" x14ac:dyDescent="0.45">
      <c r="A91" s="27" t="s">
        <v>80</v>
      </c>
      <c r="B91" s="28">
        <v>10506620</v>
      </c>
      <c r="C91" s="38"/>
      <c r="D91" s="29">
        <v>30.740000000000002</v>
      </c>
      <c r="E91" s="29">
        <v>30.66</v>
      </c>
      <c r="F91" s="29">
        <v>31.364999999999998</v>
      </c>
      <c r="G91" s="29">
        <v>31.68</v>
      </c>
      <c r="H91" s="29">
        <v>31.653333333333336</v>
      </c>
      <c r="I91" s="29">
        <v>29.824999999999999</v>
      </c>
      <c r="J91" s="29">
        <v>25.396666666666665</v>
      </c>
      <c r="K91" s="41">
        <v>25.266666666666666</v>
      </c>
      <c r="L91" s="23"/>
      <c r="M91" s="43"/>
      <c r="N91" s="20">
        <f t="shared" si="0"/>
        <v>5.3433333333333373</v>
      </c>
      <c r="O91" s="20">
        <f t="shared" si="1"/>
        <v>5.2633333333333354</v>
      </c>
      <c r="P91" s="20">
        <f t="shared" si="2"/>
        <v>5.9683333333333337</v>
      </c>
      <c r="Q91" s="20">
        <f t="shared" si="3"/>
        <v>6.283333333333335</v>
      </c>
      <c r="R91" s="20">
        <f t="shared" si="4"/>
        <v>6.2566666666666713</v>
      </c>
      <c r="S91" s="27">
        <f t="shared" si="5"/>
        <v>4.4283333333333346</v>
      </c>
      <c r="T91" s="23"/>
      <c r="U91" s="43"/>
      <c r="V91" s="20">
        <f t="shared" si="13"/>
        <v>5.4733333333333363</v>
      </c>
      <c r="W91" s="20">
        <f t="shared" si="6"/>
        <v>5.3933333333333344</v>
      </c>
      <c r="X91" s="20">
        <f t="shared" si="7"/>
        <v>6.0983333333333327</v>
      </c>
      <c r="Y91" s="20">
        <f t="shared" si="8"/>
        <v>6.413333333333334</v>
      </c>
      <c r="Z91" s="20">
        <f t="shared" si="9"/>
        <v>6.3866666666666703</v>
      </c>
      <c r="AA91" s="27">
        <f t="shared" si="10"/>
        <v>4.5583333333333336</v>
      </c>
      <c r="AB91" s="23"/>
      <c r="AC91" s="43"/>
      <c r="AD91" s="20">
        <f t="shared" si="33"/>
        <v>1.609111111111114</v>
      </c>
      <c r="AE91" s="20">
        <f t="shared" si="14"/>
        <v>1.2902222222222246</v>
      </c>
      <c r="AF91" s="20">
        <f t="shared" si="15"/>
        <v>3.500777777777778</v>
      </c>
      <c r="AG91" s="20">
        <f t="shared" si="16"/>
        <v>1.6885555555555563</v>
      </c>
      <c r="AH91" s="20">
        <f t="shared" si="17"/>
        <v>-1.5278571428571386</v>
      </c>
      <c r="AI91" s="27">
        <f t="shared" si="18"/>
        <v>0.10911111111111271</v>
      </c>
      <c r="AJ91" s="23"/>
      <c r="AK91" s="43"/>
      <c r="AL91" s="20">
        <f t="shared" si="19"/>
        <v>0.91366666666666863</v>
      </c>
      <c r="AM91" s="20">
        <f t="shared" si="20"/>
        <v>0.59477777777777963</v>
      </c>
      <c r="AN91" s="20">
        <f t="shared" si="21"/>
        <v>2.8053333333333321</v>
      </c>
      <c r="AO91" s="20">
        <f t="shared" si="22"/>
        <v>0.99311111111111128</v>
      </c>
      <c r="AP91" s="20">
        <f t="shared" si="23"/>
        <v>-2.1824358974358962</v>
      </c>
      <c r="AQ91" s="20">
        <f t="shared" si="24"/>
        <v>-0.58633333333333315</v>
      </c>
      <c r="AR91" s="23"/>
      <c r="AS91" s="20"/>
      <c r="AT91" s="20">
        <f t="shared" si="32"/>
        <v>0.32780025660130391</v>
      </c>
      <c r="AU91" s="20">
        <f t="shared" si="32"/>
        <v>0.40888804229605735</v>
      </c>
      <c r="AV91" s="20">
        <f t="shared" si="25"/>
        <v>8.83407090532706E-2</v>
      </c>
      <c r="AW91" s="20">
        <f t="shared" si="25"/>
        <v>0.31023738311666649</v>
      </c>
      <c r="AX91" s="20">
        <f t="shared" si="25"/>
        <v>2.8835721945063737</v>
      </c>
      <c r="AY91" s="20">
        <f t="shared" si="25"/>
        <v>0.92715913726989008</v>
      </c>
      <c r="AZ91" s="23"/>
      <c r="BA91" s="20"/>
      <c r="BB91" s="20">
        <f t="shared" si="26"/>
        <v>0.53083423905909777</v>
      </c>
      <c r="BC91" s="20">
        <f t="shared" si="27"/>
        <v>0.66214643955140928</v>
      </c>
      <c r="BD91" s="20">
        <f t="shared" si="28"/>
        <v>0.14305746296370511</v>
      </c>
      <c r="BE91" s="20">
        <f t="shared" si="29"/>
        <v>0.5023932162283925</v>
      </c>
      <c r="BF91" s="20">
        <f t="shared" si="30"/>
        <v>4.539193209307661</v>
      </c>
      <c r="BG91" s="20">
        <f t="shared" si="31"/>
        <v>1.5014259604987577</v>
      </c>
    </row>
    <row r="92" spans="1:59" x14ac:dyDescent="0.45">
      <c r="A92" s="27" t="s">
        <v>80</v>
      </c>
      <c r="B92" s="28">
        <v>10324116</v>
      </c>
      <c r="C92" s="38"/>
      <c r="D92" s="29">
        <v>31.803333333333331</v>
      </c>
      <c r="E92" s="29">
        <v>31.740000000000002</v>
      </c>
      <c r="F92" s="29">
        <v>29.663333333333338</v>
      </c>
      <c r="G92" s="29">
        <v>31.443333333333332</v>
      </c>
      <c r="H92" s="29">
        <v>35.299999999999997</v>
      </c>
      <c r="I92" s="29">
        <v>33.424999999999997</v>
      </c>
      <c r="J92" s="29">
        <v>28.35</v>
      </c>
      <c r="K92" s="41">
        <v>27.24</v>
      </c>
      <c r="L92" s="23"/>
      <c r="M92" s="43"/>
      <c r="N92" s="20">
        <f t="shared" si="0"/>
        <v>3.4533333333333296</v>
      </c>
      <c r="O92" s="20">
        <f t="shared" si="1"/>
        <v>3.3900000000000006</v>
      </c>
      <c r="P92" s="20">
        <f t="shared" si="2"/>
        <v>1.3133333333333361</v>
      </c>
      <c r="Q92" s="20">
        <f t="shared" si="3"/>
        <v>3.0933333333333302</v>
      </c>
      <c r="R92" s="20">
        <f t="shared" si="4"/>
        <v>6.9499999999999957</v>
      </c>
      <c r="S92" s="27">
        <f t="shared" si="5"/>
        <v>5.0749999999999957</v>
      </c>
      <c r="T92" s="23"/>
      <c r="U92" s="43"/>
      <c r="V92" s="20">
        <f t="shared" si="13"/>
        <v>4.5633333333333326</v>
      </c>
      <c r="W92" s="20">
        <f t="shared" si="6"/>
        <v>4.5000000000000036</v>
      </c>
      <c r="X92" s="20">
        <f t="shared" si="7"/>
        <v>2.4233333333333391</v>
      </c>
      <c r="Y92" s="20">
        <f t="shared" si="8"/>
        <v>4.2033333333333331</v>
      </c>
      <c r="Z92" s="20">
        <f t="shared" si="9"/>
        <v>8.0599999999999987</v>
      </c>
      <c r="AA92" s="27">
        <f t="shared" si="10"/>
        <v>6.1849999999999987</v>
      </c>
      <c r="AB92" s="23"/>
      <c r="AC92" s="43"/>
      <c r="AD92" s="20">
        <f t="shared" si="33"/>
        <v>-0.28088888888889363</v>
      </c>
      <c r="AE92" s="20">
        <f t="shared" si="14"/>
        <v>-0.58311111111111025</v>
      </c>
      <c r="AF92" s="20">
        <f t="shared" si="15"/>
        <v>-1.1542222222222196</v>
      </c>
      <c r="AG92" s="20">
        <f t="shared" si="16"/>
        <v>-1.5014444444444486</v>
      </c>
      <c r="AH92" s="20">
        <f t="shared" si="17"/>
        <v>-0.83452380952381411</v>
      </c>
      <c r="AI92" s="27">
        <f t="shared" si="18"/>
        <v>0.75577777777777388</v>
      </c>
      <c r="AJ92" s="23"/>
      <c r="AK92" s="43"/>
      <c r="AL92" s="20">
        <f t="shared" si="19"/>
        <v>3.6666666666649306E-3</v>
      </c>
      <c r="AM92" s="20">
        <f t="shared" si="20"/>
        <v>-0.29855555555555124</v>
      </c>
      <c r="AN92" s="20">
        <f t="shared" si="21"/>
        <v>-0.86966666666666148</v>
      </c>
      <c r="AO92" s="20">
        <f t="shared" si="22"/>
        <v>-1.2168888888888896</v>
      </c>
      <c r="AP92" s="20">
        <f t="shared" si="23"/>
        <v>-0.50910256410256771</v>
      </c>
      <c r="AQ92" s="20">
        <f t="shared" si="24"/>
        <v>1.040333333333332</v>
      </c>
      <c r="AR92" s="23"/>
      <c r="AS92" s="20"/>
      <c r="AT92" s="20">
        <f t="shared" si="32"/>
        <v>1.2149432178054802</v>
      </c>
      <c r="AU92" s="20">
        <f t="shared" si="32"/>
        <v>1.4980763063555853</v>
      </c>
      <c r="AV92" s="20">
        <f t="shared" si="25"/>
        <v>2.2256430365894095</v>
      </c>
      <c r="AW92" s="20">
        <f t="shared" si="25"/>
        <v>2.8312603997237229</v>
      </c>
      <c r="AX92" s="20">
        <f t="shared" si="25"/>
        <v>1.7832683381555909</v>
      </c>
      <c r="AY92" s="20">
        <f t="shared" si="25"/>
        <v>0.59222702123268256</v>
      </c>
      <c r="AZ92" s="23"/>
      <c r="BA92" s="20"/>
      <c r="BB92" s="20">
        <f t="shared" si="26"/>
        <v>0.99746168731546558</v>
      </c>
      <c r="BC92" s="20">
        <f t="shared" si="27"/>
        <v>1.2299123929131677</v>
      </c>
      <c r="BD92" s="20">
        <f t="shared" si="28"/>
        <v>1.8272406694432235</v>
      </c>
      <c r="BE92" s="20">
        <f t="shared" si="29"/>
        <v>2.324449187542224</v>
      </c>
      <c r="BF92" s="20">
        <f t="shared" si="30"/>
        <v>1.4231646332847585</v>
      </c>
      <c r="BG92" s="20">
        <f t="shared" si="31"/>
        <v>0.48621512118037302</v>
      </c>
    </row>
    <row r="93" spans="1:59" x14ac:dyDescent="0.45">
      <c r="A93" s="27" t="s">
        <v>80</v>
      </c>
      <c r="B93" s="28">
        <v>10526659</v>
      </c>
      <c r="C93" s="38"/>
      <c r="D93" s="29">
        <v>28.103333333333335</v>
      </c>
      <c r="E93" s="29">
        <v>27.734999999999999</v>
      </c>
      <c r="F93" s="29">
        <v>28.206666666666667</v>
      </c>
      <c r="G93" s="29">
        <v>29.209999999999997</v>
      </c>
      <c r="H93" s="29">
        <v>32.876666666666672</v>
      </c>
      <c r="I93" s="29">
        <v>29.346666666666664</v>
      </c>
      <c r="J93" s="29">
        <v>25.096666666666668</v>
      </c>
      <c r="K93" s="41">
        <v>23.98</v>
      </c>
      <c r="L93" s="23"/>
      <c r="M93" s="43"/>
      <c r="N93" s="20">
        <f t="shared" si="0"/>
        <v>3.0066666666666677</v>
      </c>
      <c r="O93" s="20">
        <f t="shared" si="1"/>
        <v>2.6383333333333319</v>
      </c>
      <c r="P93" s="20">
        <f t="shared" si="2"/>
        <v>3.1099999999999994</v>
      </c>
      <c r="Q93" s="20">
        <f t="shared" si="3"/>
        <v>4.1133333333333297</v>
      </c>
      <c r="R93" s="20">
        <f t="shared" si="4"/>
        <v>7.7800000000000047</v>
      </c>
      <c r="S93" s="27">
        <f t="shared" si="5"/>
        <v>4.2499999999999964</v>
      </c>
      <c r="T93" s="23"/>
      <c r="U93" s="43"/>
      <c r="V93" s="20">
        <f t="shared" si="13"/>
        <v>4.1233333333333348</v>
      </c>
      <c r="W93" s="20">
        <f t="shared" si="6"/>
        <v>3.754999999999999</v>
      </c>
      <c r="X93" s="20">
        <f t="shared" si="7"/>
        <v>4.2266666666666666</v>
      </c>
      <c r="Y93" s="20">
        <f t="shared" si="8"/>
        <v>5.2299999999999969</v>
      </c>
      <c r="Z93" s="20">
        <f t="shared" si="9"/>
        <v>8.8966666666666718</v>
      </c>
      <c r="AA93" s="27">
        <f t="shared" si="10"/>
        <v>5.3666666666666636</v>
      </c>
      <c r="AB93" s="23"/>
      <c r="AC93" s="43"/>
      <c r="AD93" s="20">
        <f t="shared" si="33"/>
        <v>-0.72755555555555551</v>
      </c>
      <c r="AE93" s="20">
        <f t="shared" si="14"/>
        <v>-1.334777777777779</v>
      </c>
      <c r="AF93" s="20">
        <f t="shared" si="15"/>
        <v>0.64244444444444371</v>
      </c>
      <c r="AG93" s="20">
        <f t="shared" si="16"/>
        <v>-0.481444444444449</v>
      </c>
      <c r="AH93" s="20">
        <f t="shared" si="17"/>
        <v>-4.5238095238051557E-3</v>
      </c>
      <c r="AI93" s="27">
        <f t="shared" si="18"/>
        <v>-6.9222222222225405E-2</v>
      </c>
      <c r="AJ93" s="23"/>
      <c r="AK93" s="43"/>
      <c r="AL93" s="20">
        <f t="shared" si="19"/>
        <v>-0.4363333333333328</v>
      </c>
      <c r="AM93" s="20">
        <f t="shared" si="20"/>
        <v>-1.0435555555555558</v>
      </c>
      <c r="AN93" s="20">
        <f t="shared" si="21"/>
        <v>0.93366666666666598</v>
      </c>
      <c r="AO93" s="20">
        <f t="shared" si="22"/>
        <v>-0.19022222222222585</v>
      </c>
      <c r="AP93" s="20">
        <f t="shared" si="23"/>
        <v>0.3275641025641054</v>
      </c>
      <c r="AQ93" s="20">
        <f t="shared" si="24"/>
        <v>0.22199999999999687</v>
      </c>
      <c r="AR93" s="23"/>
      <c r="AS93" s="20"/>
      <c r="AT93" s="20">
        <f t="shared" si="32"/>
        <v>1.6558311397833756</v>
      </c>
      <c r="AU93" s="20">
        <f t="shared" si="32"/>
        <v>2.5223662608353643</v>
      </c>
      <c r="AV93" s="20">
        <f t="shared" si="25"/>
        <v>0.64062657678653734</v>
      </c>
      <c r="AW93" s="20">
        <f t="shared" si="25"/>
        <v>1.3961408005722387</v>
      </c>
      <c r="AX93" s="20">
        <f t="shared" si="25"/>
        <v>1.0031405871594239</v>
      </c>
      <c r="AY93" s="20">
        <f t="shared" si="25"/>
        <v>1.0491509186853081</v>
      </c>
      <c r="AZ93" s="23"/>
      <c r="BA93" s="20"/>
      <c r="BB93" s="20">
        <f t="shared" si="26"/>
        <v>1.353160841475415</v>
      </c>
      <c r="BC93" s="20">
        <f t="shared" si="27"/>
        <v>2.0613015240598176</v>
      </c>
      <c r="BD93" s="20">
        <f t="shared" si="28"/>
        <v>0.52352608722492944</v>
      </c>
      <c r="BE93" s="20">
        <f t="shared" si="29"/>
        <v>1.1409394443250083</v>
      </c>
      <c r="BF93" s="20">
        <f t="shared" si="30"/>
        <v>0.79688083034960655</v>
      </c>
      <c r="BG93" s="20">
        <f t="shared" si="31"/>
        <v>0.8573760366341735</v>
      </c>
    </row>
    <row r="94" spans="1:59" x14ac:dyDescent="0.45">
      <c r="A94" s="27" t="s">
        <v>80</v>
      </c>
      <c r="B94" s="28">
        <v>10534541</v>
      </c>
      <c r="C94" s="38"/>
      <c r="D94" s="29">
        <v>30.266666666666666</v>
      </c>
      <c r="E94" s="29">
        <v>31.814999999999998</v>
      </c>
      <c r="F94" s="29">
        <v>28.646666666666665</v>
      </c>
      <c r="G94" s="29">
        <v>30.643333333333334</v>
      </c>
      <c r="H94" s="29">
        <v>33.14</v>
      </c>
      <c r="I94" s="29">
        <v>31.623333333333335</v>
      </c>
      <c r="J94" s="29">
        <v>26.573333333333334</v>
      </c>
      <c r="K94" s="41">
        <v>25.513333333333332</v>
      </c>
      <c r="L94" s="23"/>
      <c r="M94" s="43"/>
      <c r="N94" s="20">
        <f t="shared" si="0"/>
        <v>3.6933333333333316</v>
      </c>
      <c r="O94" s="20">
        <f t="shared" si="1"/>
        <v>5.2416666666666636</v>
      </c>
      <c r="P94" s="20">
        <f t="shared" si="2"/>
        <v>2.0733333333333306</v>
      </c>
      <c r="Q94" s="20">
        <f t="shared" si="3"/>
        <v>4.07</v>
      </c>
      <c r="R94" s="20">
        <f t="shared" si="4"/>
        <v>6.5666666666666664</v>
      </c>
      <c r="S94" s="27">
        <f t="shared" si="5"/>
        <v>5.0500000000000007</v>
      </c>
      <c r="T94" s="23"/>
      <c r="U94" s="43"/>
      <c r="V94" s="20">
        <f t="shared" si="13"/>
        <v>4.7533333333333339</v>
      </c>
      <c r="W94" s="20">
        <f t="shared" si="6"/>
        <v>6.3016666666666659</v>
      </c>
      <c r="X94" s="20">
        <f t="shared" si="7"/>
        <v>3.1333333333333329</v>
      </c>
      <c r="Y94" s="20">
        <f t="shared" si="8"/>
        <v>5.1300000000000026</v>
      </c>
      <c r="Z94" s="20">
        <f t="shared" si="9"/>
        <v>7.6266666666666687</v>
      </c>
      <c r="AA94" s="27">
        <f>I94-K94</f>
        <v>6.110000000000003</v>
      </c>
      <c r="AB94" s="23"/>
      <c r="AC94" s="43"/>
      <c r="AD94" s="20">
        <f t="shared" si="33"/>
        <v>-4.0888888888891639E-2</v>
      </c>
      <c r="AE94" s="20">
        <f t="shared" si="14"/>
        <v>1.2685555555555528</v>
      </c>
      <c r="AF94" s="20">
        <f t="shared" si="15"/>
        <v>-0.39422222222222514</v>
      </c>
      <c r="AG94" s="20">
        <f t="shared" si="16"/>
        <v>-0.52477777777777845</v>
      </c>
      <c r="AH94" s="20">
        <f t="shared" si="17"/>
        <v>-1.2178571428571434</v>
      </c>
      <c r="AI94" s="27">
        <f t="shared" si="18"/>
        <v>0.73077777777777886</v>
      </c>
      <c r="AJ94" s="23"/>
      <c r="AK94" s="43"/>
      <c r="AL94" s="20">
        <f t="shared" si="19"/>
        <v>0.19366666666666621</v>
      </c>
      <c r="AM94" s="20">
        <f t="shared" si="20"/>
        <v>1.5031111111111111</v>
      </c>
      <c r="AN94" s="20">
        <f t="shared" si="21"/>
        <v>-0.15966666666666773</v>
      </c>
      <c r="AO94" s="20">
        <f t="shared" si="22"/>
        <v>-0.29022222222222016</v>
      </c>
      <c r="AP94" s="20">
        <f t="shared" si="23"/>
        <v>-0.94243589743589773</v>
      </c>
      <c r="AQ94" s="20">
        <f t="shared" si="24"/>
        <v>0.96533333333333626</v>
      </c>
      <c r="AR94" s="23"/>
      <c r="AS94" s="20"/>
      <c r="AT94" s="20">
        <f t="shared" si="32"/>
        <v>1.0287474744634337</v>
      </c>
      <c r="AU94" s="20">
        <f t="shared" si="32"/>
        <v>0.41507514339652485</v>
      </c>
      <c r="AV94" s="20">
        <f t="shared" si="25"/>
        <v>1.3142340465869193</v>
      </c>
      <c r="AW94" s="20">
        <f t="shared" si="25"/>
        <v>1.4387119542458455</v>
      </c>
      <c r="AX94" s="20">
        <f t="shared" si="25"/>
        <v>2.3260097478206365</v>
      </c>
      <c r="AY94" s="20">
        <f t="shared" si="25"/>
        <v>0.60257896721871895</v>
      </c>
      <c r="AZ94" s="23"/>
      <c r="BA94" s="20"/>
      <c r="BB94" s="20">
        <f t="shared" si="26"/>
        <v>0.87438062189428245</v>
      </c>
      <c r="BC94" s="20">
        <f t="shared" si="27"/>
        <v>0.35279178906874875</v>
      </c>
      <c r="BD94" s="20">
        <f t="shared" si="28"/>
        <v>1.1170290197491568</v>
      </c>
      <c r="BE94" s="20">
        <f t="shared" si="29"/>
        <v>1.2228286187884436</v>
      </c>
      <c r="BF94" s="20">
        <f t="shared" si="30"/>
        <v>1.9217702859445409</v>
      </c>
      <c r="BG94" s="20">
        <f t="shared" si="31"/>
        <v>0.51216006374346223</v>
      </c>
    </row>
    <row r="95" spans="1:59" x14ac:dyDescent="0.45">
      <c r="A95" s="27" t="s">
        <v>80</v>
      </c>
      <c r="B95" s="28">
        <v>10539336</v>
      </c>
      <c r="C95" s="38"/>
      <c r="D95" s="29">
        <v>28.159999999999997</v>
      </c>
      <c r="E95" s="29">
        <v>29.863333333333333</v>
      </c>
      <c r="F95" s="29">
        <v>27.28</v>
      </c>
      <c r="G95" s="29">
        <v>28.486666666666668</v>
      </c>
      <c r="H95" s="29">
        <v>30.443333333333332</v>
      </c>
      <c r="I95" s="29">
        <v>28.596666666666668</v>
      </c>
      <c r="J95" s="29">
        <v>24.736666666666668</v>
      </c>
      <c r="K95" s="41">
        <v>23.803333333333331</v>
      </c>
      <c r="L95" s="23"/>
      <c r="M95" s="43"/>
      <c r="N95" s="20">
        <f>D95-J95</f>
        <v>3.4233333333333285</v>
      </c>
      <c r="O95" s="20">
        <f t="shared" si="1"/>
        <v>5.1266666666666652</v>
      </c>
      <c r="P95" s="20">
        <f t="shared" si="2"/>
        <v>2.543333333333333</v>
      </c>
      <c r="Q95" s="20">
        <f t="shared" si="3"/>
        <v>3.75</v>
      </c>
      <c r="R95" s="20">
        <f t="shared" si="4"/>
        <v>5.7066666666666634</v>
      </c>
      <c r="S95" s="27">
        <f>I95-J95</f>
        <v>3.8599999999999994</v>
      </c>
      <c r="T95" s="23"/>
      <c r="U95" s="43"/>
      <c r="V95" s="20">
        <f>D95-K95</f>
        <v>4.3566666666666656</v>
      </c>
      <c r="W95" s="20">
        <f t="shared" si="6"/>
        <v>6.0600000000000023</v>
      </c>
      <c r="X95" s="20">
        <f t="shared" si="7"/>
        <v>3.4766666666666701</v>
      </c>
      <c r="Y95" s="20">
        <f t="shared" si="8"/>
        <v>4.6833333333333371</v>
      </c>
      <c r="Z95" s="20">
        <f t="shared" si="9"/>
        <v>6.6400000000000006</v>
      </c>
      <c r="AA95" s="27">
        <f t="shared" si="10"/>
        <v>4.7933333333333366</v>
      </c>
      <c r="AB95" s="23"/>
      <c r="AC95" s="43"/>
      <c r="AD95" s="20">
        <f t="shared" si="33"/>
        <v>-0.31088888888889477</v>
      </c>
      <c r="AE95" s="20">
        <f>O95-$O$96</f>
        <v>1.1535555555555543</v>
      </c>
      <c r="AF95" s="20">
        <f t="shared" si="15"/>
        <v>7.5777777777777278E-2</v>
      </c>
      <c r="AG95" s="20">
        <f t="shared" si="16"/>
        <v>-0.84477777777777874</v>
      </c>
      <c r="AH95" s="20">
        <f>R95-$R$96</f>
        <v>-2.0778571428571464</v>
      </c>
      <c r="AI95" s="27">
        <f t="shared" si="18"/>
        <v>-0.45922222222222242</v>
      </c>
      <c r="AJ95" s="23"/>
      <c r="AK95" s="43"/>
      <c r="AL95" s="20">
        <f t="shared" si="19"/>
        <v>-0.20300000000000207</v>
      </c>
      <c r="AM95" s="20">
        <f t="shared" si="20"/>
        <v>1.2614444444444475</v>
      </c>
      <c r="AN95" s="20">
        <f t="shared" si="21"/>
        <v>0.18366666666666953</v>
      </c>
      <c r="AO95" s="20">
        <f t="shared" si="22"/>
        <v>-0.7368888888888856</v>
      </c>
      <c r="AP95" s="20">
        <f t="shared" si="23"/>
        <v>-1.9291025641025659</v>
      </c>
      <c r="AQ95" s="20">
        <f>AA95-$AA$96</f>
        <v>-0.35133333333333017</v>
      </c>
      <c r="AR95" s="23"/>
      <c r="AS95" s="20"/>
      <c r="AT95" s="20">
        <f t="shared" si="32"/>
        <v>1.2404717574251118</v>
      </c>
      <c r="AU95" s="20">
        <f>2^-AE95</f>
        <v>0.44951602231653076</v>
      </c>
      <c r="AV95" s="20">
        <f t="shared" si="25"/>
        <v>0.948830454808261</v>
      </c>
      <c r="AW95" s="20">
        <f t="shared" si="25"/>
        <v>1.7959880835550275</v>
      </c>
      <c r="AX95" s="20">
        <f t="shared" si="25"/>
        <v>4.2217968032033415</v>
      </c>
      <c r="AY95" s="20">
        <f t="shared" si="25"/>
        <v>1.374800443497167</v>
      </c>
      <c r="AZ95" s="23"/>
      <c r="BA95" s="20"/>
      <c r="BB95" s="20">
        <f t="shared" si="26"/>
        <v>1.1510894913277643</v>
      </c>
      <c r="BC95" s="20">
        <f t="shared" si="27"/>
        <v>0.41712611865188148</v>
      </c>
      <c r="BD95" s="20">
        <f t="shared" si="28"/>
        <v>0.88046242007849096</v>
      </c>
      <c r="BE95" s="20">
        <f t="shared" si="29"/>
        <v>1.6665780556111445</v>
      </c>
      <c r="BF95" s="20">
        <f t="shared" si="30"/>
        <v>3.8081823557374959</v>
      </c>
      <c r="BG95" s="20">
        <f t="shared" si="31"/>
        <v>1.2757391159531313</v>
      </c>
    </row>
    <row r="96" spans="1:59" x14ac:dyDescent="0.45">
      <c r="B96" s="50"/>
      <c r="C96" s="38"/>
      <c r="D96" s="38"/>
      <c r="E96" s="38"/>
      <c r="F96" s="38"/>
      <c r="G96" s="38"/>
      <c r="H96" s="38"/>
      <c r="I96" s="38"/>
      <c r="J96" s="38"/>
      <c r="K96" s="38"/>
      <c r="L96" s="47" t="s">
        <v>73</v>
      </c>
      <c r="M96" s="47"/>
      <c r="N96" s="47">
        <f>AVERAGE(N81:N95)</f>
        <v>3.7342222222222232</v>
      </c>
      <c r="O96" s="47">
        <f>AVERAGE(O81:O95)</f>
        <v>3.9731111111111108</v>
      </c>
      <c r="P96" s="47">
        <f>AVERAGE(P81:P95)</f>
        <v>2.4675555555555557</v>
      </c>
      <c r="Q96" s="47">
        <f>AVERAGE(Q81:Q95)</f>
        <v>4.5947777777777787</v>
      </c>
      <c r="R96" s="47">
        <f>AVERAGE(R81:R89,R91:R95)</f>
        <v>7.7845238095238098</v>
      </c>
      <c r="S96" s="48">
        <f>AVERAGE(S81:S95)</f>
        <v>4.3192222222222219</v>
      </c>
      <c r="T96" s="23"/>
      <c r="U96" s="49"/>
      <c r="V96" s="47">
        <f>AVERAGE(V81:V95)</f>
        <v>4.5596666666666676</v>
      </c>
      <c r="W96" s="47">
        <f>AVERAGE(W81:W95)</f>
        <v>4.7985555555555548</v>
      </c>
      <c r="X96" s="47">
        <f>AVERAGE(X81:X95)</f>
        <v>3.2930000000000006</v>
      </c>
      <c r="Y96" s="47">
        <f>AVERAGE(Y81:Y95)</f>
        <v>5.4202222222222227</v>
      </c>
      <c r="Z96" s="47">
        <f>AVERAGE(Z82:Z89,Z91:Z95)</f>
        <v>8.5691025641025664</v>
      </c>
      <c r="AA96" s="48">
        <f>AVERAGE(AA81:AA95)</f>
        <v>5.1446666666666667</v>
      </c>
      <c r="AB96" s="23"/>
      <c r="AC96" s="43"/>
      <c r="AD96" s="20">
        <f t="shared" si="33"/>
        <v>0</v>
      </c>
      <c r="AE96" s="20">
        <f>O96-$O$96</f>
        <v>0</v>
      </c>
      <c r="AF96" s="20">
        <f t="shared" si="15"/>
        <v>0</v>
      </c>
      <c r="AG96" s="20">
        <f t="shared" si="16"/>
        <v>0</v>
      </c>
      <c r="AH96" s="20">
        <f t="shared" si="17"/>
        <v>0</v>
      </c>
      <c r="AI96" s="27">
        <f>S96-$S$96</f>
        <v>0</v>
      </c>
      <c r="AJ96" s="23"/>
      <c r="AK96" s="43"/>
      <c r="AL96" s="20">
        <f t="shared" si="19"/>
        <v>0</v>
      </c>
      <c r="AM96" s="20">
        <f t="shared" si="20"/>
        <v>0</v>
      </c>
      <c r="AN96" s="20">
        <f t="shared" si="21"/>
        <v>0</v>
      </c>
      <c r="AO96" s="20">
        <f t="shared" si="22"/>
        <v>0</v>
      </c>
      <c r="AP96" s="20">
        <f t="shared" si="23"/>
        <v>0</v>
      </c>
      <c r="AQ96" s="20">
        <f t="shared" si="24"/>
        <v>0</v>
      </c>
      <c r="AR96" s="23"/>
      <c r="AS96" s="20"/>
      <c r="AT96" s="20">
        <f t="shared" si="32"/>
        <v>1</v>
      </c>
      <c r="AU96" s="20">
        <f>2^-AE96</f>
        <v>1</v>
      </c>
      <c r="AV96" s="20">
        <f t="shared" si="25"/>
        <v>1</v>
      </c>
      <c r="AW96" s="20">
        <f t="shared" si="25"/>
        <v>1</v>
      </c>
      <c r="AX96" s="20">
        <f t="shared" si="25"/>
        <v>1</v>
      </c>
      <c r="AY96" s="20">
        <f>2^-AI96</f>
        <v>1</v>
      </c>
      <c r="AZ96" s="23"/>
      <c r="BA96" s="20"/>
      <c r="BB96" s="20">
        <f t="shared" si="26"/>
        <v>1</v>
      </c>
      <c r="BC96" s="20">
        <f t="shared" si="27"/>
        <v>1</v>
      </c>
      <c r="BD96" s="20">
        <f t="shared" si="28"/>
        <v>1</v>
      </c>
      <c r="BE96" s="20">
        <f t="shared" si="29"/>
        <v>1</v>
      </c>
      <c r="BF96" s="20">
        <f t="shared" si="30"/>
        <v>1</v>
      </c>
      <c r="BG96" s="20">
        <f t="shared" si="31"/>
        <v>1</v>
      </c>
    </row>
    <row r="100" spans="44:59" x14ac:dyDescent="0.45">
      <c r="AR100" t="s">
        <v>69</v>
      </c>
      <c r="AT100">
        <f>MEDIAN(AT51:AT65)</f>
        <v>2.6042877986647204</v>
      </c>
      <c r="AU100">
        <f t="shared" ref="AU100:AX100" si="34">MEDIAN(AU51:AU65)</f>
        <v>2.7316597161612326</v>
      </c>
      <c r="AV100">
        <f t="shared" si="34"/>
        <v>3.5740394418750592</v>
      </c>
      <c r="AW100">
        <f>MEDIAN(AW51:AW65)</f>
        <v>4.2617455077578921</v>
      </c>
      <c r="AX100">
        <f t="shared" si="34"/>
        <v>1.7956719503461871</v>
      </c>
      <c r="AY100">
        <f>MEDIAN(AY51:AY65)</f>
        <v>7.9404579935313455</v>
      </c>
      <c r="BB100">
        <f t="shared" ref="BB100:BG100" si="35">MEDIAN(BB51:BB65)</f>
        <v>3.6460474410710204</v>
      </c>
      <c r="BC100">
        <f t="shared" si="35"/>
        <v>2.7610599675807954</v>
      </c>
      <c r="BD100">
        <f t="shared" si="35"/>
        <v>7.0436993606279268</v>
      </c>
      <c r="BE100">
        <f>MEDIAN(BE51:BE65)</f>
        <v>3.5069630306712671</v>
      </c>
      <c r="BF100">
        <f t="shared" si="35"/>
        <v>2.1571142115414061</v>
      </c>
      <c r="BG100">
        <f t="shared" si="35"/>
        <v>7.7884342958187123</v>
      </c>
    </row>
    <row r="101" spans="44:59" x14ac:dyDescent="0.45">
      <c r="AR101" t="s">
        <v>70</v>
      </c>
      <c r="AT101">
        <f>MEDIAN(AT66:AT80)</f>
        <v>1.3923824697093197</v>
      </c>
      <c r="AU101">
        <f t="shared" ref="AU101:AX101" si="36">MEDIAN(AU66:AU80)</f>
        <v>0.29588554258615157</v>
      </c>
      <c r="AV101">
        <f t="shared" si="36"/>
        <v>2.6775042943988909</v>
      </c>
      <c r="AW101">
        <f t="shared" si="36"/>
        <v>1.5634984378119601</v>
      </c>
      <c r="AX101">
        <f t="shared" si="36"/>
        <v>1.320597185356184</v>
      </c>
      <c r="AY101">
        <f>MEDIAN(AY66:AY80)</f>
        <v>4.3046289595431872</v>
      </c>
      <c r="BB101">
        <f t="shared" ref="BB101:BG101" si="37">MEDIAN(BB66:BB80)</f>
        <v>1.3376184635909714</v>
      </c>
      <c r="BC101">
        <f t="shared" si="37"/>
        <v>0.45540505866765313</v>
      </c>
      <c r="BD101">
        <f t="shared" si="37"/>
        <v>3.2332834752222741</v>
      </c>
      <c r="BE101">
        <f t="shared" si="37"/>
        <v>1.7616030707846937</v>
      </c>
      <c r="BF101">
        <f>MEDIAN(BF66:BF80)</f>
        <v>1.4430312712209843</v>
      </c>
      <c r="BG101">
        <f t="shared" si="37"/>
        <v>4.1737185964829919</v>
      </c>
    </row>
    <row r="102" spans="44:59" x14ac:dyDescent="0.45">
      <c r="AR102" t="s">
        <v>71</v>
      </c>
      <c r="AT102">
        <f>MEDIAN(AT81:AT95)</f>
        <v>1.0503636457178205</v>
      </c>
      <c r="AU102">
        <f>MEDIAN(AU81:AU95)</f>
        <v>0.97138230498370093</v>
      </c>
      <c r="AV102">
        <f>MEDIAN(AV81:AV95)</f>
        <v>1.0145844039807819</v>
      </c>
      <c r="AW102">
        <f t="shared" ref="AW102" si="38">MEDIAN(AW81:AW95)</f>
        <v>1.3961408005722387</v>
      </c>
      <c r="AX102">
        <f>MEDIAN(AX81:AX95)</f>
        <v>1.3359351955558767</v>
      </c>
      <c r="AY102">
        <f>MEDIAN(AY81:AY95)</f>
        <v>0.92715913726989008</v>
      </c>
      <c r="BB102">
        <f t="shared" ref="BB102:BF102" si="39">MEDIAN(BB81:BB95)</f>
        <v>0.87438062189428245</v>
      </c>
      <c r="BC102">
        <f t="shared" si="39"/>
        <v>0.79290626070206016</v>
      </c>
      <c r="BD102">
        <f t="shared" si="39"/>
        <v>0.88046242007849096</v>
      </c>
      <c r="BE102">
        <f t="shared" si="39"/>
        <v>1.0669965826599479</v>
      </c>
      <c r="BF102">
        <f t="shared" si="39"/>
        <v>1.1876051111095651</v>
      </c>
      <c r="BG102">
        <f>MEDIAN(BG81:BG95)</f>
        <v>0.8573760366341735</v>
      </c>
    </row>
  </sheetData>
  <mergeCells count="7">
    <mergeCell ref="AS48:AY48"/>
    <mergeCell ref="BA48:BG48"/>
    <mergeCell ref="A49:C49"/>
    <mergeCell ref="M49:S49"/>
    <mergeCell ref="U49:AA49"/>
    <mergeCell ref="AC49:AI49"/>
    <mergeCell ref="AK49:AQ4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DB91-2616-DC4D-80DC-27A8333877FB}">
  <dimension ref="A1:I12"/>
  <sheetViews>
    <sheetView workbookViewId="0">
      <selection activeCell="A12" sqref="A12"/>
    </sheetView>
  </sheetViews>
  <sheetFormatPr defaultColWidth="10.6640625" defaultRowHeight="14.25" x14ac:dyDescent="0.45"/>
  <cols>
    <col min="3" max="3" width="18.1328125" customWidth="1"/>
    <col min="5" max="5" width="20.6640625" customWidth="1"/>
  </cols>
  <sheetData>
    <row r="1" spans="1:9" x14ac:dyDescent="0.45">
      <c r="A1" s="58" t="s">
        <v>87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</row>
    <row r="2" spans="1:9" x14ac:dyDescent="0.45">
      <c r="A2" t="s">
        <v>96</v>
      </c>
      <c r="B2">
        <v>27.183666666666671</v>
      </c>
      <c r="C2">
        <v>1.4923538188495811</v>
      </c>
      <c r="D2">
        <v>15</v>
      </c>
      <c r="E2">
        <v>26.358222222222221</v>
      </c>
      <c r="F2">
        <v>1.3564074086354201</v>
      </c>
      <c r="G2">
        <v>15</v>
      </c>
      <c r="H2">
        <v>5.4898915482933894</v>
      </c>
      <c r="I2">
        <v>5.1460504323840688</v>
      </c>
    </row>
    <row r="3" spans="1:9" x14ac:dyDescent="0.45">
      <c r="A3" t="s">
        <v>97</v>
      </c>
      <c r="B3">
        <v>25.943555555555559</v>
      </c>
      <c r="C3">
        <v>1.144139981075873</v>
      </c>
      <c r="D3">
        <v>15</v>
      </c>
      <c r="E3">
        <v>25.184047619047622</v>
      </c>
      <c r="F3">
        <v>1.425672872923365</v>
      </c>
      <c r="G3">
        <v>15</v>
      </c>
      <c r="H3">
        <v>4.4101124790925841</v>
      </c>
      <c r="I3">
        <v>5.6610156337421964</v>
      </c>
    </row>
    <row r="4" spans="1:9" x14ac:dyDescent="0.45">
      <c r="A4" t="s">
        <v>98</v>
      </c>
      <c r="B4">
        <v>26.334777777777781</v>
      </c>
      <c r="C4">
        <v>1.228129443998853</v>
      </c>
      <c r="D4">
        <v>15</v>
      </c>
      <c r="E4">
        <v>25.713111111111111</v>
      </c>
      <c r="F4">
        <v>1.4265544107297441</v>
      </c>
      <c r="G4">
        <v>15</v>
      </c>
      <c r="H4">
        <v>4.6635268934571874</v>
      </c>
      <c r="I4">
        <v>5.5479650228451103</v>
      </c>
    </row>
    <row r="8" spans="1:9" ht="17.649999999999999" x14ac:dyDescent="0.55000000000000004">
      <c r="A8" s="52" t="s">
        <v>99</v>
      </c>
    </row>
    <row r="10" spans="1:9" x14ac:dyDescent="0.45">
      <c r="A10" s="51" t="s">
        <v>100</v>
      </c>
    </row>
    <row r="12" spans="1:9" x14ac:dyDescent="0.45">
      <c r="A12" s="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Alkhaldi</dc:creator>
  <cp:lastModifiedBy>Simone Cutler</cp:lastModifiedBy>
  <dcterms:created xsi:type="dcterms:W3CDTF">2015-06-05T18:17:20Z</dcterms:created>
  <dcterms:modified xsi:type="dcterms:W3CDTF">2025-11-12T03:59:00Z</dcterms:modified>
</cp:coreProperties>
</file>